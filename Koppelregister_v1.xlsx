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rnoldruijter/archimate-engine/"/>
    </mc:Choice>
  </mc:AlternateContent>
  <xr:revisionPtr revIDLastSave="0" documentId="8_{F439A08B-35BE-7949-B50A-EA7F6E7E9B75}" xr6:coauthVersionLast="47" xr6:coauthVersionMax="47" xr10:uidLastSave="{00000000-0000-0000-0000-000000000000}"/>
  <bookViews>
    <workbookView xWindow="2600" yWindow="500" windowWidth="23260" windowHeight="13900" tabRatio="335" activeTab="1" xr2:uid="{EEE3A49B-6375-42A3-AC3B-E84D00590331}"/>
  </bookViews>
  <sheets>
    <sheet name="Voorpagina" sheetId="4" r:id="rId1"/>
    <sheet name="Koppelregister" sheetId="1" r:id="rId2"/>
    <sheet name="Tussenstations (data)" sheetId="8" r:id="rId3"/>
    <sheet name="Archi Format" sheetId="5" r:id="rId4"/>
    <sheet name="WAARDEN" sheetId="2" r:id="rId5"/>
    <sheet name="Notities" sheetId="6" r:id="rId6"/>
    <sheet name="Koppelingsreferentie" sheetId="7" r:id="rId7"/>
  </sheets>
  <definedNames>
    <definedName name="_xlnm._FilterDatabase" localSheetId="1" hidden="1">Koppelregister!#REF!</definedName>
    <definedName name="_xlnm._FilterDatabase" localSheetId="2" hidden="1">'Tussenstations (data)'!$B$3:$E$3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</calcChain>
</file>

<file path=xl/sharedStrings.xml><?xml version="1.0" encoding="utf-8"?>
<sst xmlns="http://schemas.openxmlformats.org/spreadsheetml/2006/main" count="2279" uniqueCount="757">
  <si>
    <t>Koppelregister - IJSSELGEMEENTEN</t>
  </si>
  <si>
    <t>Dit bestand bevat een overzicht van alle applicatiekoppelingen van de drie gemeenten.</t>
  </si>
  <si>
    <t>Het doel van dit koppelregister is om inzicht te bieden in koppelingen, processen en datastromen.</t>
  </si>
  <si>
    <t>Elke koppeling wordt als één rij opgenomen in het tabblad 'Koppelregister'.</t>
  </si>
  <si>
    <r>
      <rPr>
        <b/>
        <sz val="11"/>
        <color rgb="FF000000"/>
        <rFont val="Aptos Narrow"/>
        <scheme val="minor"/>
      </rPr>
      <t>Auteur</t>
    </r>
    <r>
      <rPr>
        <sz val="11"/>
        <color rgb="FF000000"/>
        <rFont val="Aptos Narrow"/>
        <scheme val="minor"/>
      </rPr>
      <t>: Ilse Wesdorp</t>
    </r>
  </si>
  <si>
    <r>
      <rPr>
        <b/>
        <sz val="11"/>
        <color theme="1"/>
        <rFont val="Aptos Narrow"/>
        <family val="2"/>
        <scheme val="minor"/>
      </rPr>
      <t>Team</t>
    </r>
    <r>
      <rPr>
        <sz val="11"/>
        <color theme="1"/>
        <rFont val="Aptos Narrow"/>
        <family val="2"/>
        <scheme val="minor"/>
      </rPr>
      <t>: Taakgroep Architectuur</t>
    </r>
  </si>
  <si>
    <r>
      <rPr>
        <b/>
        <sz val="11"/>
        <color theme="1"/>
        <rFont val="Aptos Narrow"/>
        <family val="2"/>
        <scheme val="minor"/>
      </rPr>
      <t>Datum aangemaakt</t>
    </r>
    <r>
      <rPr>
        <sz val="11"/>
        <color theme="1"/>
        <rFont val="Aptos Narrow"/>
        <family val="2"/>
        <scheme val="minor"/>
      </rPr>
      <t>: 20-09-2025</t>
    </r>
  </si>
  <si>
    <r>
      <rPr>
        <b/>
        <sz val="11"/>
        <color rgb="FF000000"/>
        <rFont val="Aptos Narrow"/>
        <scheme val="minor"/>
      </rPr>
      <t>Versie</t>
    </r>
    <r>
      <rPr>
        <sz val="11"/>
        <color rgb="FF000000"/>
        <rFont val="Aptos Narrow"/>
        <scheme val="minor"/>
      </rPr>
      <t>: 1.0</t>
    </r>
  </si>
  <si>
    <t>Archi</t>
  </si>
  <si>
    <t>Basis Informatie</t>
  </si>
  <si>
    <t>Doel</t>
  </si>
  <si>
    <t>Implementatietechniek</t>
  </si>
  <si>
    <t>Beveiliging &amp; Privacy</t>
  </si>
  <si>
    <t>Beheer &amp; Lifecycle</t>
  </si>
  <si>
    <t>Archi ID</t>
  </si>
  <si>
    <t>N</t>
  </si>
  <si>
    <t>Koppelingsreferentie</t>
  </si>
  <si>
    <t>Naam koppeling (data van naar)</t>
  </si>
  <si>
    <t>Interface beschrijving (doel)</t>
  </si>
  <si>
    <t>Gemeente / Organisatie</t>
  </si>
  <si>
    <t>Domein / Taakveld</t>
  </si>
  <si>
    <t xml:space="preserve">Unit </t>
  </si>
  <si>
    <t>Bronapplicatie</t>
  </si>
  <si>
    <t>Bron-leverancier</t>
  </si>
  <si>
    <t>Gegevensset</t>
  </si>
  <si>
    <t>Standaard gebruik</t>
  </si>
  <si>
    <t>Standaard Versie/Profiel</t>
  </si>
  <si>
    <t>Frequentie</t>
  </si>
  <si>
    <t>Datavolume</t>
  </si>
  <si>
    <t>Doelapplicatie</t>
  </si>
  <si>
    <t>Doel-leverancier</t>
  </si>
  <si>
    <t>Gegevensverwerking</t>
  </si>
  <si>
    <t>Validatie / Bewerking</t>
  </si>
  <si>
    <t>Integratie patroon</t>
  </si>
  <si>
    <t>Wijze</t>
  </si>
  <si>
    <t>Protocol</t>
  </si>
  <si>
    <t>Endpoint URL</t>
  </si>
  <si>
    <t>Dataformat</t>
  </si>
  <si>
    <t>Techniek</t>
  </si>
  <si>
    <t>Middleware</t>
  </si>
  <si>
    <t>Gegevensclassificatie</t>
  </si>
  <si>
    <t>Transportbeveiliging</t>
  </si>
  <si>
    <t>Koppelingsrichting</t>
  </si>
  <si>
    <t>Netwerkverbinding</t>
  </si>
  <si>
    <t>Authenticatie / Authorisatie</t>
  </si>
  <si>
    <t>Logging / Monitoring</t>
  </si>
  <si>
    <t>Verwerkersovereenkomst</t>
  </si>
  <si>
    <t>Technisch Beheerder</t>
  </si>
  <si>
    <t>Versie koppeling</t>
  </si>
  <si>
    <t>SLA / Contractueel vastgelegd?</t>
  </si>
  <si>
    <t>Bekende Knelpunten</t>
  </si>
  <si>
    <t>Documentatie beschikbaar</t>
  </si>
  <si>
    <t>Notities</t>
  </si>
  <si>
    <t>bv. id-001758972b494016a24a7c0ba4ceaee5</t>
  </si>
  <si>
    <t>Wat is de koppeling alias. Syntax is: &lt;bronapp&gt;-&lt;doelapp&gt;#-&lt;dataobject&gt;</t>
  </si>
  <si>
    <t>Bv. Zaaksysteem ↔ BRP of 'de journaalposten job'.</t>
  </si>
  <si>
    <t>Een beknopte beschrijving van de koppeling. bijv.: Raadplegen persoonsgegevens voor zaakafhandeling</t>
  </si>
  <si>
    <t>Voor welke gemeente is de koppeling?</t>
  </si>
  <si>
    <t>Van wie is de (bedrijfs)proces, waar deze koppeling ondersteunend aan is.</t>
  </si>
  <si>
    <t>In welke team binnen de afdeling? bv. Administratie (binnen Financien).</t>
  </si>
  <si>
    <t>Bij welke applicatie begint de koppeling</t>
  </si>
  <si>
    <t>Bv. PinkRoccade of Centric</t>
  </si>
  <si>
    <t>Bv. NAW-gegevens, geboortedatum</t>
  </si>
  <si>
    <t>StUF, iWmo, Digikoppeling, etc. Bv. StUF-BG (03.10)</t>
  </si>
  <si>
    <t>Bv. (StUF-BD) 03.10</t>
  </si>
  <si>
    <t>Bv. Real-Time of 1 x per week (maandag)</t>
  </si>
  <si>
    <t>Bv. +/- 120 raadplegingen per maand.</t>
  </si>
  <si>
    <t>Bij welke applicatie eindigt de koppeling.</t>
  </si>
  <si>
    <t>Centric</t>
  </si>
  <si>
    <t>Wat doet de koppeling functioneel met de data?
vb: “Opslag in zaakdossier”, “Synchroniseren adressen”, “Raadplegen persoonsgegevens”.</t>
  </si>
  <si>
    <t>Welke controles of transformaties vinden plaats? Interesse: voordat de verwerking plaatsvindt (checks of het uberhaupt successvol kan beginnen) en nadat de verwerking is afgerond (sucess en of data-kwaliteit check.</t>
  </si>
  <si>
    <t>Welk architectuurpatroon past bij deze behoefte?</t>
  </si>
  <si>
    <t>Is de uitwisseling manueel of automatisch?</t>
  </si>
  <si>
    <t>Via welk technisch protocol loopt de koppeling?</t>
  </si>
  <si>
    <t>In welk formaat gaat de payload?</t>
  </si>
  <si>
    <t>bv. Middels een concrete tool of techniek toepassing?</t>
  </si>
  <si>
    <t>Loopt dit via een centrale voorziening? Zo ja, welke?</t>
  </si>
  <si>
    <t>Wat voor soort gegevens gaan er over de lijn? Hoe gevoelig zijn ze?</t>
  </si>
  <si>
    <t>Hoe wordt het dataverkeer beschermd tijdens transport?bv. TLS 1.2</t>
  </si>
  <si>
    <t>Geeft aan of de koppeling binnen de gemeentelijke omgeving plaatsvindt of met een externe partij / leverancier. Dus loopt het intern alleen of komt het vanuit extern?</t>
  </si>
  <si>
    <t>Geeft aan via welk netwerk de externe koppeling verloopt; Via internet (publiek) of Digi Netwerk</t>
  </si>
  <si>
    <t>bv. PKI overheid-certificaat, autorisatie via zaaksysteem</t>
  </si>
  <si>
    <t>Wordt verkeer gelogd en gecontroleerd? bv. Ja, centraal via onze ESB (Managed Integrations)</t>
  </si>
  <si>
    <t>bv. Ja opgenomen met leverancier zaaksysteem.</t>
  </si>
  <si>
    <t>bv. ICT Integratie persoon of bijvoorbeeld door EnableU</t>
  </si>
  <si>
    <t>De versie van de koppeling Bv. v1.2</t>
  </si>
  <si>
    <t>bv. Ja responsetijd &lt; 2 sec.</t>
  </si>
  <si>
    <t>bv. Geen ondersteuning voor nieuwe BRP API-standaard.</t>
  </si>
  <si>
    <t>bv. Ja Sharepoint Integratie Archief</t>
  </si>
  <si>
    <t>S4SG-DJUM-001_Zaak-documentservices</t>
  </si>
  <si>
    <t>Suite GRIJ -&gt; Djuma</t>
  </si>
  <si>
    <t>Overbrengen zaken en documenten naar DMS</t>
  </si>
  <si>
    <t>IJsselgemeenten</t>
  </si>
  <si>
    <t>Sociaal Domein</t>
  </si>
  <si>
    <t>SoZa</t>
  </si>
  <si>
    <t>Suite4SociaalDomein</t>
  </si>
  <si>
    <t>Zaak-documentservices</t>
  </si>
  <si>
    <t>StUF-ZKN</t>
  </si>
  <si>
    <t> </t>
  </si>
  <si>
    <t>Real-Time</t>
  </si>
  <si>
    <t xml:space="preserve"> +/- 2000-2500 per dag</t>
  </si>
  <si>
    <t>Djuma</t>
  </si>
  <si>
    <t>Visma</t>
  </si>
  <si>
    <t>Zaak- en documentopslag voor archivering</t>
  </si>
  <si>
    <t>Aanpassen organisatiecodes</t>
  </si>
  <si>
    <t>Message Bus / ESB</t>
  </si>
  <si>
    <t>Automatisch</t>
  </si>
  <si>
    <t>SOAP over HTTPS (veel gebruikt bij oudere StUF-koppelingen)</t>
  </si>
  <si>
    <t>https://grij-eucc-p01.ijsselgemeenten.nl:7443/opentunnel/00000001854442996000/prod/s4sd/djuma/zkn</t>
  </si>
  <si>
    <t>XML (vaak als payload in SOAP of bestand)</t>
  </si>
  <si>
    <t>ESB (MuleSoft, EnableU..)</t>
  </si>
  <si>
    <t>EnableU Managed Integrations (Cloud)</t>
  </si>
  <si>
    <t>Persoonsgegevens</t>
  </si>
  <si>
    <t>TLS 1.2</t>
  </si>
  <si>
    <t>Extern</t>
  </si>
  <si>
    <t>Publiek internet</t>
  </si>
  <si>
    <t>G1 PKI-O server certificaat</t>
  </si>
  <si>
    <t>ja MI</t>
  </si>
  <si>
    <t>Voor afzonderlijke applicaties</t>
  </si>
  <si>
    <t>EnableU</t>
  </si>
  <si>
    <t>1.1</t>
  </si>
  <si>
    <t>Zilver</t>
  </si>
  <si>
    <t>Wanneer geen BSN wordt meegezonden verstuurt Djuma wel een bevestiging maar er wordt niet daadwerkelijk een zaak aangemaakt</t>
  </si>
  <si>
    <t>Ja</t>
  </si>
  <si>
    <t>Enable-U opleverdocument</t>
  </si>
  <si>
    <t>DJUM-S4SG-001_Zaak-documentservices</t>
  </si>
  <si>
    <t>Djuma -&gt;Suite GRIJ</t>
  </si>
  <si>
    <t xml:space="preserve">Overbrengen ingekomen zaken en documenten naar Suite </t>
  </si>
  <si>
    <t>centric</t>
  </si>
  <si>
    <t>http://grij-cemsh-p01.ijsselgemeenten.nl/MessageHandler.svc/xn2 (172.25.121.117)</t>
  </si>
  <si>
    <t>EnableU Managed Integrations (Cloud) &amp; MessageHandler</t>
  </si>
  <si>
    <t>1.2</t>
  </si>
  <si>
    <t>S4SG-GGKC-001_Berichtenverkeer Zorg en Jeugd</t>
  </si>
  <si>
    <t>Suite GRIJ -&gt; GGK Capelle</t>
  </si>
  <si>
    <t>Verzenden iWmo en iJw berichten naar GGK</t>
  </si>
  <si>
    <t>Capelle</t>
  </si>
  <si>
    <t>Berichtenverkeer Zorg en Jeugd</t>
  </si>
  <si>
    <t>iStandaarden</t>
  </si>
  <si>
    <t>+/- 5000-7000 per maand</t>
  </si>
  <si>
    <t>GGK</t>
  </si>
  <si>
    <t>BIDN</t>
  </si>
  <si>
    <t>Uitwisselen zorginformatie met zorgaanbieders</t>
  </si>
  <si>
    <t>Zorgaanbieder aangesloten?</t>
  </si>
  <si>
    <t>https://grij-eucc-p01.ijsselgemeenten.nl:7443/opentunnel/00000001001877045000/prod/s4sd/naar/ggk</t>
  </si>
  <si>
    <t>Niet-persoonsgebonden</t>
  </si>
  <si>
    <t>3.2</t>
  </si>
  <si>
    <t>S4SK-GGKC-001_Berichtenverkeer Zorg en Jeugd</t>
  </si>
  <si>
    <t>Suite Krimpen -&gt; GGK Krimpen</t>
  </si>
  <si>
    <t>Krimpen</t>
  </si>
  <si>
    <t>+/- 3000-8000 per maand</t>
  </si>
  <si>
    <t>https://grij-eucc-p01.ijsselgemeenten.nl:7443/opentunnel/00000001001877185000/prod/s4sd/naar/ggk</t>
  </si>
  <si>
    <t>GGKC-S4SG-001_Berichtenverkeer Zorg en Jeugd</t>
  </si>
  <si>
    <t>GGK Capelle -&gt; Suite Capelle</t>
  </si>
  <si>
    <t>Verzenden iWmo en iJw berichten naar Suite</t>
  </si>
  <si>
    <t>+/- 3000-5000 per maand</t>
  </si>
  <si>
    <t>GGKC-S4SK-001_Berichtenverkeer Zorg en Jeugd</t>
  </si>
  <si>
    <t>GGK Krimpen-&gt; Suite Krimpen</t>
  </si>
  <si>
    <t>+/- 2000-3000 per maand</t>
  </si>
  <si>
    <t>http://kri-cemsh-p01.ijsselgemeenten.nl/MessageHandler.svc/xn2 (172.25.200.23)</t>
  </si>
  <si>
    <t>S4SG-WLZG-001_Wlz signalering</t>
  </si>
  <si>
    <t>Wlz-check</t>
  </si>
  <si>
    <t>Check of client indicatie wlz heeft</t>
  </si>
  <si>
    <t>Wlz signalering</t>
  </si>
  <si>
    <t>iWlz</t>
  </si>
  <si>
    <t>+/- 50-120 per maand</t>
  </si>
  <si>
    <t>Wlz</t>
  </si>
  <si>
    <t>Wlz-indicatie opvragen</t>
  </si>
  <si>
    <t>-</t>
  </si>
  <si>
    <t>Manueel</t>
  </si>
  <si>
    <t>https://grij-eucc-p01.ijsselgemeenten.nl:7443/opentunnel/00000001854442996000/prod/s4sd/wlzregistertoets</t>
  </si>
  <si>
    <t>Bijzondere persoonsgegevens</t>
  </si>
  <si>
    <t>S4SG-DDSC-001_Persoonsgegevens</t>
  </si>
  <si>
    <t>Persoonsbevraging S4SG -&gt;DDSC</t>
  </si>
  <si>
    <t>Bevragen van persoonsgegevens</t>
  </si>
  <si>
    <t>StUF-BG</t>
  </si>
  <si>
    <t>03.10</t>
  </si>
  <si>
    <t>+/- 100 per dag</t>
  </si>
  <si>
    <t>DDS Capelle</t>
  </si>
  <si>
    <t>Raadplegen persoonsgegevens</t>
  </si>
  <si>
    <t>Binnen-/buitengemeentelijk</t>
  </si>
  <si>
    <t>Request/Reply (Synchroon)</t>
  </si>
  <si>
    <t>CAP-CESTUF-P01.ijsselgemeenten.nl (172.25.121.131)</t>
  </si>
  <si>
    <t>Bestanden drop op fileshare of cloud storage</t>
  </si>
  <si>
    <t>Centric UBM</t>
  </si>
  <si>
    <t>Geen (intern netwerk)</t>
  </si>
  <si>
    <t>Intern</t>
  </si>
  <si>
    <t>Gemeentelijk WAN</t>
  </si>
  <si>
    <t>Ja DDS</t>
  </si>
  <si>
    <t>Beheerder DDS</t>
  </si>
  <si>
    <t>3.32.000</t>
  </si>
  <si>
    <t>S4SK-DDSK-001_Persoonsgegevens</t>
  </si>
  <si>
    <t>Persoonsbevraging S4SK -&gt; DDSK</t>
  </si>
  <si>
    <t>+/- 10 per dag</t>
  </si>
  <si>
    <t>DDS Krimpen</t>
  </si>
  <si>
    <t>KRI-CESTUF-P01.ijsselgemeenten.nl (172.25.121.131)</t>
  </si>
  <si>
    <t>S4SG-DDSZ-001_Persoonsgegevens</t>
  </si>
  <si>
    <t>Persoonsbevraging S4SG -&gt;DDSZ</t>
  </si>
  <si>
    <t>Zuidplas</t>
  </si>
  <si>
    <t>DDS Zuidplas</t>
  </si>
  <si>
    <t>?</t>
  </si>
  <si>
    <t>EnableU on prem</t>
  </si>
  <si>
    <t xml:space="preserve">PKIoverheid-certificaat; </t>
  </si>
  <si>
    <t>Ja DDS/on prem Adeptia</t>
  </si>
  <si>
    <t>DDSC-S4SG-001_Persoonsgegevens</t>
  </si>
  <si>
    <t>Kennisgevingen DDSC -&gt; S4SG</t>
  </si>
  <si>
    <t>Mutaties van persoonsgegevens gevolgde personen/Volgindicaties</t>
  </si>
  <si>
    <t>1x per dag</t>
  </si>
  <si>
    <t>+/- 20 per dag</t>
  </si>
  <si>
    <t>Muteren persoonsgegevens</t>
  </si>
  <si>
    <t>File/Batch</t>
  </si>
  <si>
    <t>Centric UBM (MessageHandler)</t>
  </si>
  <si>
    <t>Asynchrone berichten volgen elkaar snel op waardoor soms mutaties worden verzonden voor personen die niet meer gevolgd worden omdat de verwijdering nog niet is verwerkt</t>
  </si>
  <si>
    <t>DDSK-S4SK-001_Persoonsgegevens</t>
  </si>
  <si>
    <t>Kennisgevingen DDSK -&gt; S4SK</t>
  </si>
  <si>
    <t>+</t>
  </si>
  <si>
    <t>DDSZ-S4SG-001_Persoonsgegevens</t>
  </si>
  <si>
    <t>Kennisgevingen DDS~ -&gt; S4SG</t>
  </si>
  <si>
    <t>+/- 5 per dag</t>
  </si>
  <si>
    <t>EnableU on prem en MessageHandler</t>
  </si>
  <si>
    <t>W-schijf</t>
  </si>
  <si>
    <t>OISG-S4SG-001_Uitkeringsgegevens</t>
  </si>
  <si>
    <t>OIS -&gt; S4SG</t>
  </si>
  <si>
    <t>clientgegevens, werkprocessen voor uitkeringsaanvragen</t>
  </si>
  <si>
    <t>OIS</t>
  </si>
  <si>
    <t>Uitkeringsaanvragen</t>
  </si>
  <si>
    <t xml:space="preserve">+/- 50-100 per maand </t>
  </si>
  <si>
    <t>Werkproces aanmaken</t>
  </si>
  <si>
    <t xml:space="preserve">- </t>
  </si>
  <si>
    <t>"http://grij-cegwse-p01.ijsselgemeenten.nl:23094/berichtenverkeercwi/productie/capelle/run/BM_ONTV_S?Webintake-v0400"</t>
  </si>
  <si>
    <t>nee</t>
  </si>
  <si>
    <t>Diginetwerk</t>
  </si>
  <si>
    <t>DigiD</t>
  </si>
  <si>
    <t>ja in Suite</t>
  </si>
  <si>
    <t>FB-SD</t>
  </si>
  <si>
    <t>teams</t>
  </si>
  <si>
    <t>IWPG-S4SG-001_Documenten</t>
  </si>
  <si>
    <t>Inwonersportaal -&gt; Suite</t>
  </si>
  <si>
    <t>Cliënten leveren documenten aan</t>
  </si>
  <si>
    <t>Inwonersportaal</t>
  </si>
  <si>
    <t>Documenten</t>
  </si>
  <si>
    <t>Digikoppeling</t>
  </si>
  <si>
    <t>http://grij-cemsh-p01.ijsselgemeenten.nl/MessageHandler.svc/xn2</t>
  </si>
  <si>
    <t>VPN</t>
  </si>
  <si>
    <t>ja, in suite</t>
  </si>
  <si>
    <t>INWP-S4SD-002_Documenten</t>
  </si>
  <si>
    <t>Inwonersportaal -&gt;Suite</t>
  </si>
  <si>
    <t>Wet maatschappelijke ondersteuning</t>
  </si>
  <si>
    <t>http://kri-cemsh-p01.ijsselgemeenten.nl/MessageHandler.svc/xn2</t>
  </si>
  <si>
    <t>ja, in Suite</t>
  </si>
  <si>
    <t>IBSA-S4SG-001</t>
  </si>
  <si>
    <t>Ibsatool -&gt; Suite</t>
  </si>
  <si>
    <t>analyseren van ib-signalen</t>
  </si>
  <si>
    <t>VisionActive</t>
  </si>
  <si>
    <t>Controle cliëntgegegevens</t>
  </si>
  <si>
    <t>1X per maand</t>
  </si>
  <si>
    <t>- 100-200 per maand</t>
  </si>
  <si>
    <t xml:space="preserve">Suite </t>
  </si>
  <si>
    <t>Werkproces aanmaken/aanvullen</t>
  </si>
  <si>
    <t>Kentekens/Bankrekeningnummers</t>
  </si>
  <si>
    <t>ja, in IBSAtool en in Suite</t>
  </si>
  <si>
    <t>Roland Broere</t>
  </si>
  <si>
    <t>Verwerkingstijd</t>
  </si>
  <si>
    <t>Nee</t>
  </si>
  <si>
    <t>S4SG-DKDC-001_uitkeringsgegevens</t>
  </si>
  <si>
    <t>Suite GRIJ --&gt; DKD</t>
  </si>
  <si>
    <t>digitaal klantdossier</t>
  </si>
  <si>
    <t>Opvragen uitkeringsgegevens</t>
  </si>
  <si>
    <t>+/- 4000 per week</t>
  </si>
  <si>
    <t>Suwinet</t>
  </si>
  <si>
    <t>Uitwisselen uitkeringsinformatie</t>
  </si>
  <si>
    <t>https://connect.diginetwerk.inlichtingenbureau.nl/postkantoor/SOAP/SuwiML -verwijsindex naar https://broker.prd.suwi.net/suwibroker/soap/</t>
  </si>
  <si>
    <t>Message broker (bijv Kafka)</t>
  </si>
  <si>
    <t>MessageHandler</t>
  </si>
  <si>
    <t>ja beide kanten</t>
  </si>
  <si>
    <t>DKD --&gt; Suite4SociaalDomein GRIJ</t>
  </si>
  <si>
    <t>BKWI</t>
  </si>
  <si>
    <t>uitkeringsgegevens</t>
  </si>
  <si>
    <t>S4SK-POSTX-001_Beschikkingen</t>
  </si>
  <si>
    <t>Suite-Postex</t>
  </si>
  <si>
    <t>beschikkingen</t>
  </si>
  <si>
    <t>Postex</t>
  </si>
  <si>
    <t>Documenten versturen</t>
  </si>
  <si>
    <t>https://api.nl.postex.com/soap/v2/generators/2705645100339304508/generate</t>
  </si>
  <si>
    <t>PDF</t>
  </si>
  <si>
    <t>SNGG-S4SG-001_Deurwaardersgegevens</t>
  </si>
  <si>
    <t>S4SG --&gt; SNG</t>
  </si>
  <si>
    <t xml:space="preserve">Gerechtsdeurwaarders bevragen uitkeringsadministratie </t>
  </si>
  <si>
    <t xml:space="preserve">SNG </t>
  </si>
  <si>
    <t>SNG</t>
  </si>
  <si>
    <t>Inkomensinformatie</t>
  </si>
  <si>
    <t>e-VOI</t>
  </si>
  <si>
    <t>80x per maand</t>
  </si>
  <si>
    <t>raadplegen inkomensgegevens</t>
  </si>
  <si>
    <t>HTTP/HTTPS</t>
  </si>
  <si>
    <t>https://api.prd.sng.nl/opentunnel/sng/evoi via http://GRIJ-CEMSH-P01/MessageHandler.svc/xn2</t>
  </si>
  <si>
    <t>SSL</t>
  </si>
  <si>
    <t>S4SG--&gt; Cognos</t>
  </si>
  <si>
    <t>https://grij-cognos-p03.ijsselgemeenten.nl/  (172.25.121.101)</t>
  </si>
  <si>
    <t>S4SG --&gt; Suite4SocialeRegie Krimpen</t>
  </si>
  <si>
    <t>Bevragen Regie krimpen</t>
  </si>
  <si>
    <t>dossier gegevens regie</t>
  </si>
  <si>
    <t>Suite4SociaalRegie</t>
  </si>
  <si>
    <t>Raadplegen dossiergegevens regie</t>
  </si>
  <si>
    <t>https://krimpenaandenijssel.mh.service.centric.eu/MessageHandler.svc/ctt1 loopt via: http://kri-cemsh-p01.ijsselgemeenten.nl/MessageHandler.svc/xn2</t>
  </si>
  <si>
    <t>S4SG --&gt; Suite4SociaalRegie Zuidplas</t>
  </si>
  <si>
    <t>bevragen Regie Zuidplas</t>
  </si>
  <si>
    <t>https://zuidplas.mh.service.centric.eu/MessageHandler.svc/ctt1 loopt via: http://grij-cemsh-p01.ijsselgemeenten.nl/MessageHandler.svc/xn2</t>
  </si>
  <si>
    <t>S4SG --&gt; IBSA</t>
  </si>
  <si>
    <t>Filteren Ibsignalen en bankrekeningen ten behoeve aanmaken werkprocessen in SSD</t>
  </si>
  <si>
    <t>ib signalen</t>
  </si>
  <si>
    <t>1 x per maand</t>
  </si>
  <si>
    <t>IBSA tool</t>
  </si>
  <si>
    <t>Vision Active</t>
  </si>
  <si>
    <t>IB signalen</t>
  </si>
  <si>
    <t>CSV / Excel-bestanden (voor batchuitwisseling)</t>
  </si>
  <si>
    <t>PBZC-DDSC-001_Persoonsgegevens</t>
  </si>
  <si>
    <t>Burgerzaken Portaal naar DDS Capelle</t>
  </si>
  <si>
    <t>Aanleveren persoonsgegevens</t>
  </si>
  <si>
    <t>Publieke Zaken</t>
  </si>
  <si>
    <t>burgerzaken / klantcontact centrum</t>
  </si>
  <si>
    <t>Burgerzaken Portaal</t>
  </si>
  <si>
    <t>+/- 100-200 per dag</t>
  </si>
  <si>
    <t>validatie nummers, karakterset</t>
  </si>
  <si>
    <t>https://cap-cestuf-p01.ijsselgemeenten.nl:54503/StUF3.DDS.PROD/ServiceOntvangAsynchroon.svc</t>
  </si>
  <si>
    <t>Centric Berichtenmodule</t>
  </si>
  <si>
    <t>servercertificaten</t>
  </si>
  <si>
    <t>NA</t>
  </si>
  <si>
    <t>PBZK-DDSK-001_Persoonsgegevens</t>
  </si>
  <si>
    <t>Burgerzaken Portaal naar DDS Krimpen</t>
  </si>
  <si>
    <t>+/- 40-60 per dag</t>
  </si>
  <si>
    <t>https://kri-cestuf-p01.ijsselgemeenten.nl:54503/StUF3.DDS.PROD/ServiceOntvangAsynchroon.svc</t>
  </si>
  <si>
    <t>DDSC-PBZC-001_Adresgegevens</t>
  </si>
  <si>
    <t>DDS naar Burgerzaken Portaal Capelle</t>
  </si>
  <si>
    <t>Aanleveren adresgegevens</t>
  </si>
  <si>
    <t>DDS CAP</t>
  </si>
  <si>
    <t>Adresgegevens</t>
  </si>
  <si>
    <t>+/- 50 per maand</t>
  </si>
  <si>
    <t>Portaal Burgerzaken Capelle</t>
  </si>
  <si>
    <t>muteren adresgegevens</t>
  </si>
  <si>
    <t>Basiscontroles in ESB; mapping naar doelmodel</t>
  </si>
  <si>
    <t>DDSK-PBZK-001_Adresgegevens</t>
  </si>
  <si>
    <t>DDS naar Burgerzaken Portaal Krimpen</t>
  </si>
  <si>
    <t>DDS KRI</t>
  </si>
  <si>
    <t>Portaal Burgerzaken Krimpen</t>
  </si>
  <si>
    <t>BAGC-DDSC-001_adresgegevens</t>
  </si>
  <si>
    <t>BAG naar DDS Capelle</t>
  </si>
  <si>
    <t>Bron adresgegevens</t>
  </si>
  <si>
    <t>ICT</t>
  </si>
  <si>
    <t>geo</t>
  </si>
  <si>
    <t>Gouw BAG</t>
  </si>
  <si>
    <t>GouwIT</t>
  </si>
  <si>
    <t xml:space="preserve">Key2Datadistributie </t>
  </si>
  <si>
    <t>muteren adresgegevens (nieuwe en mutaties)</t>
  </si>
  <si>
    <t xml:space="preserve"> </t>
  </si>
  <si>
    <t>https://cobxml:54503/StUF3.SBG.PROD/ServiceOntvangAsynchroon.svc</t>
  </si>
  <si>
    <t>PKIoverheid-certificaat</t>
  </si>
  <si>
    <t>Ja, centraal via ESB</t>
  </si>
  <si>
    <t>Ja opgenomen met leverancier DDS</t>
  </si>
  <si>
    <t>BAGK-DDSC-001_adresgegevens</t>
  </si>
  <si>
    <t>BAG naar DDS Krimpen</t>
  </si>
  <si>
    <t>Centric BAG</t>
  </si>
  <si>
    <t>+/- 25 per maand</t>
  </si>
  <si>
    <t>BRPC-BRPV-001_mutaties</t>
  </si>
  <si>
    <t>Gemeentelijke BRP CAP  naar BRP-V</t>
  </si>
  <si>
    <t>Doorstroom van mutaties vanuit de gemeentelijke BRP via BRP-V, ten behoeve van alle gemeenten en geautoriseerde afnemers/instanties.</t>
  </si>
  <si>
    <t>StUF</t>
  </si>
  <si>
    <t>BRP-V</t>
  </si>
  <si>
    <t>RvIG</t>
  </si>
  <si>
    <t>Basisvalidaties; berichtschema-controle</t>
  </si>
  <si>
    <t>Publish/Subscribe (Event-driven / asynchroon)</t>
  </si>
  <si>
    <t>SMTP over TLS</t>
  </si>
  <si>
    <t>BRP mailboxserver</t>
  </si>
  <si>
    <t>Ja met RvIG</t>
  </si>
  <si>
    <t>ICT Integratie</t>
  </si>
  <si>
    <t>ja</t>
  </si>
  <si>
    <t>BRPK-BRPV-001_mutaties</t>
  </si>
  <si>
    <t>Gemeentelijke BRP KRI  naar BRP-V</t>
  </si>
  <si>
    <t>BRP-V naar Samenraadplegen</t>
  </si>
  <si>
    <t>Samenraadplegen fungeert als afnemersapplicatie die BRP-gegevens opvraagt via BRP-V.</t>
  </si>
  <si>
    <t>Persoons- en adresgegevens.</t>
  </si>
  <si>
    <t>300-400 per dag</t>
  </si>
  <si>
    <t>Samenraadplegen</t>
  </si>
  <si>
    <t>raadplegen persoons- en adresgegevens.</t>
  </si>
  <si>
    <t>Basiscontroles in ESB</t>
  </si>
  <si>
    <t>Centric Cloud Adapter</t>
  </si>
  <si>
    <t>Ja met RvIG/Centric</t>
  </si>
  <si>
    <t>Beheerder Samenraadplegen</t>
  </si>
  <si>
    <t>BRV-SAMC-001_persoons- en adresgegevens</t>
  </si>
  <si>
    <t>Samenraadplegen naar Burgerzaken Portaal</t>
  </si>
  <si>
    <t>Logs met wie raadpleegt; Logging persoonraadpleging per verzoeker.</t>
  </si>
  <si>
    <t>Logging</t>
  </si>
  <si>
    <t>1000 per dag</t>
  </si>
  <si>
    <t>BZ Portaal</t>
  </si>
  <si>
    <t>Logging persoonraadpleging per verzoeker.</t>
  </si>
  <si>
    <t>JSON (payload bij REST)</t>
  </si>
  <si>
    <t>Ja met Centric</t>
  </si>
  <si>
    <t>Beheerder BZ Portaal</t>
  </si>
  <si>
    <t>SAMC-PBZC-001_logging</t>
  </si>
  <si>
    <t>Authorizatie Module --&gt; BZ Portaal</t>
  </si>
  <si>
    <t>Authorizatie master</t>
  </si>
  <si>
    <t>Authorizatie Module -</t>
  </si>
  <si>
    <t>on-demand volume</t>
  </si>
  <si>
    <t>MSAC-AUMC-001_active directory profielen</t>
  </si>
  <si>
    <t>Authorizatie Module --&gt; Samenraadplegen</t>
  </si>
  <si>
    <t>MSAK-AUMK-001_active directory profielen</t>
  </si>
  <si>
    <t>Authorizatie Module --&gt; DDS</t>
  </si>
  <si>
    <t>DDS</t>
  </si>
  <si>
    <t>BRPC-PBZC-001_mutatie richting reis reisdocumenten</t>
  </si>
  <si>
    <t>Microsoft Active Directory naar Authorisatie Module</t>
  </si>
  <si>
    <t>Synchroniseren van Active Directory profielen met de authorizatie module.</t>
  </si>
  <si>
    <t>Capelle/Krimpen</t>
  </si>
  <si>
    <t>Microsoft Active Directory</t>
  </si>
  <si>
    <t>Microsoft</t>
  </si>
  <si>
    <t>Active Directory profielen</t>
  </si>
  <si>
    <t>(Job ?)</t>
  </si>
  <si>
    <t>Authorizatie Module</t>
  </si>
  <si>
    <t>AD Profielen</t>
  </si>
  <si>
    <t>Basiscontroles; mapping naar doelmodel</t>
  </si>
  <si>
    <t>Data Replicatie / ETL</t>
  </si>
  <si>
    <t>LDAPS</t>
  </si>
  <si>
    <t>ETL-Tool (bijv. Pentaho of SSIS)</t>
  </si>
  <si>
    <t>Serviceaccount + LDAPS</t>
  </si>
  <si>
    <t>Ja, centraal via AD/ESB</t>
  </si>
  <si>
    <t>BRPK-PBZK-001_mutatie richting reis reisdocumenten</t>
  </si>
  <si>
    <t>Gemeentelijke BRP naar  Burgerzaken Portaal (REIS)</t>
  </si>
  <si>
    <t>Raadplegen gemeentelijke BRP-persoonsgegevens t.b.v. Burgerzakenprocessen en doorzetten van vastgelegde mutaties naar REIS (Persoonsgegevens (CAP/KRI) - Administratie begint bij portaal BZ met BRP, dan BRP naar Portaal BZ en dan mutatie naar REIS.)</t>
  </si>
  <si>
    <t>Gemeentelijke BRP</t>
  </si>
  <si>
    <t>Gemeente</t>
  </si>
  <si>
    <t>Mutatie richting REIS (reisdocumenten)</t>
  </si>
  <si>
    <t>100+</t>
  </si>
  <si>
    <t>Portaal BZ (REIS)</t>
  </si>
  <si>
    <t>Raadplegen BRP en doorzetten mutaties naar REIS</t>
  </si>
  <si>
    <t>Basiscontroles in ESB; mapping naar REIS</t>
  </si>
  <si>
    <t>Ja met RvIG/ID&amp;D</t>
  </si>
  <si>
    <t>PBZC-RAAC-001_aanvraag job batch</t>
  </si>
  <si>
    <t>Key2Burgerzaken --&gt; LogiLink (batch)</t>
  </si>
  <si>
    <t>key2burgerzaken (rijbewijs aanvraag) via Logilink --&gt; aan RJ vragen</t>
  </si>
  <si>
    <t>LogiLink</t>
  </si>
  <si>
    <t>RAAC-RVIG-001_aanvraag-pakket reisdocument</t>
  </si>
  <si>
    <t>Burgerzaken Portaal naar CentricBetalen</t>
  </si>
  <si>
    <t>(webservice API) - Document/Uittreksel/rijbewijs aanvraag. Stuurt via webservice de betaalcode. BETAALPROCES (CODE)</t>
  </si>
  <si>
    <t>Betaal-code</t>
  </si>
  <si>
    <t>Digikoppeling (WUS)</t>
  </si>
  <si>
    <t>v1</t>
  </si>
  <si>
    <t>CentricBetalen</t>
  </si>
  <si>
    <t>Order-code, persoonsgegevens en productgegevens (naam,BSN ..)</t>
  </si>
  <si>
    <t>BRPC-RPAC-001_persoonsgegevens</t>
  </si>
  <si>
    <t>Burgerzaken Portaal naar RAAS (Server)</t>
  </si>
  <si>
    <t>Aanvraag (JOB batch)</t>
  </si>
  <si>
    <t>Aanvraag</t>
  </si>
  <si>
    <t>Batch</t>
  </si>
  <si>
    <t>RAAS (Server)</t>
  </si>
  <si>
    <t>Identiteit en Diensten (ID&amp;D) en Rijksdienst voor Identiteitsgegevens (RvIG)</t>
  </si>
  <si>
    <t>Aanvraag doorzetten naar RAAS</t>
  </si>
  <si>
    <t>Checksum/virusscan; bestandssignatuur</t>
  </si>
  <si>
    <t>SFTP</t>
  </si>
  <si>
    <t>XML</t>
  </si>
  <si>
    <t>Serviceaccount + SFTP sleutel</t>
  </si>
  <si>
    <t>Ja, via RAAS logging</t>
  </si>
  <si>
    <t>BRPK-RPAK-001_persoonsgegevens</t>
  </si>
  <si>
    <t>RAAS (Server) naar RIVG</t>
  </si>
  <si>
    <t>Complete pakket (aanvraag) -- twee JOB paden voor spoed en gewoon (om de kwartier)</t>
  </si>
  <si>
    <t>Aanvraag-pakket reisdocument</t>
  </si>
  <si>
    <t>om de kwartier</t>
  </si>
  <si>
    <t>RIVG</t>
  </si>
  <si>
    <t>Versturen compleet aanvraagpakket</t>
  </si>
  <si>
    <t>SFTP sleutel + PKIoverheid-certificaat</t>
  </si>
  <si>
    <t>Wachttijden bij spoed/gangbaar pad</t>
  </si>
  <si>
    <t>PBZC-MDUC-001_BRP</t>
  </si>
  <si>
    <t>Raas aanvraagstation naar RAAS (Server)</t>
  </si>
  <si>
    <t>Biometrische gegevens (JOB Batch)</t>
  </si>
  <si>
    <t>RAAS aanvraagstation</t>
  </si>
  <si>
    <t>Biometrische gegevens</t>
  </si>
  <si>
    <t>Biometrie aanleveren</t>
  </si>
  <si>
    <t>Bestandsintegriteitscontrole</t>
  </si>
  <si>
    <t>Binary</t>
  </si>
  <si>
    <t>Beheerder RAAS</t>
  </si>
  <si>
    <t>Hardware storingen (stations)</t>
  </si>
  <si>
    <t>BPCK-RPCK-001_persoonsgegevens</t>
  </si>
  <si>
    <t xml:space="preserve">Gemeentelijke BRP naar RotterdamPAS </t>
  </si>
  <si>
    <t>Persoonsgegevens (controleren)</t>
  </si>
  <si>
    <t>RotterdamPas</t>
  </si>
  <si>
    <t>Gemeente Rotterdam</t>
  </si>
  <si>
    <t>BRP gegevens ter controle (bestaat burger in die gemeente)</t>
  </si>
  <si>
    <t>Basiscontroles bij afnemer</t>
  </si>
  <si>
    <t>REST/JSON over HTTPS (steeds meer via API’s / Common Ground)</t>
  </si>
  <si>
    <t>API Gateway (bijv. Azure API Management)</t>
  </si>
  <si>
    <t>TLS 1.3</t>
  </si>
  <si>
    <t>Ja met RotterdamPas</t>
  </si>
  <si>
    <t>PZCK-MDUK-001_BRP</t>
  </si>
  <si>
    <t>Burgerzaken Portaal naar MDU</t>
  </si>
  <si>
    <t>Persoonsgegevens (Job nummer, CTC bestand, map benaderd door MDU, die haalt alles op U Schijf en model document en print het uit.)</t>
  </si>
  <si>
    <t>BRP</t>
  </si>
  <si>
    <t>MDU</t>
  </si>
  <si>
    <t>Persoonsgegevens (printen van aktes, uitreksels..) - alles wat de burger op papier wil/moet hebben.</t>
  </si>
  <si>
    <t>Bestandsnaamcontrole</t>
  </si>
  <si>
    <t>\\fileserver\\MDU\\inbox</t>
  </si>
  <si>
    <t>Windows share-permissies</t>
  </si>
  <si>
    <t>Ja, via MDU logging</t>
  </si>
  <si>
    <t>Beheerder MDU</t>
  </si>
  <si>
    <t>Portaal BZ naar VA-tool</t>
  </si>
  <si>
    <t>verrijken inschrijvingsgegevens met als resultaat signalen</t>
  </si>
  <si>
    <t>Portaal BZ naar verrijkingstool</t>
  </si>
  <si>
    <t>Kadaster naar BAG (ELIAS / LEO)</t>
  </si>
  <si>
    <t>Voeden BAG</t>
  </si>
  <si>
    <t>Financien</t>
  </si>
  <si>
    <t>GIS naar BAG (ELIAS / LEO)</t>
  </si>
  <si>
    <t>DDSK-VRSK-001_persoonsgegevens</t>
  </si>
  <si>
    <t>DDS/GBAv naar Vroegsignalering</t>
  </si>
  <si>
    <t>Samenleving</t>
  </si>
  <si>
    <t>persoonsgegevens</t>
  </si>
  <si>
    <t xml:space="preserve">+/- 5 per maand </t>
  </si>
  <si>
    <t>Vroegsignalering</t>
  </si>
  <si>
    <t>XXLLNC</t>
  </si>
  <si>
    <t>https://osb.ijsselgemeenten.nl/opentunnel/00000001854442996000/prod/xxllnc/stuf/afnemerindicatie</t>
  </si>
  <si>
    <t>VRSK-DDSK-001_persoonsgegevens</t>
  </si>
  <si>
    <t>Vroegsignalering naar DDS/GBAv</t>
  </si>
  <si>
    <t>https://osb.ijsselgemeenten.nl/opentunnel/00000001854442996000/prod/xxllnc/stuf/vraagantwoord</t>
  </si>
  <si>
    <t>DDSC-VRSC-001_persoonsgegevens</t>
  </si>
  <si>
    <t>VRSC-DDSC-001_persoonsgegevens</t>
  </si>
  <si>
    <t>LVWOZ mutaties van Gouw naar Kadaster</t>
  </si>
  <si>
    <t>Belastingen</t>
  </si>
  <si>
    <t>Gouw</t>
  </si>
  <si>
    <t>LVWOZ</t>
  </si>
  <si>
    <t>LVWOZ massale bevraging van Gouw naar Kadaster</t>
  </si>
  <si>
    <t>BAG API Individuele bevraging vanuit Gouw</t>
  </si>
  <si>
    <t xml:space="preserve">KVK Dataservice naar Gouw </t>
  </si>
  <si>
    <t>KvK</t>
  </si>
  <si>
    <t>Kamer van Koophandel</t>
  </si>
  <si>
    <t>KMS API naar Gouw</t>
  </si>
  <si>
    <t>KMS</t>
  </si>
  <si>
    <t>MijnOverheid WOZ-inzage naar Gouw</t>
  </si>
  <si>
    <t>MijnOverheid</t>
  </si>
  <si>
    <t>Berichtenbox - Gouw belastingen</t>
  </si>
  <si>
    <t>Berichtenbox</t>
  </si>
  <si>
    <t>WOZ Inzage - Gouwbelastingen</t>
  </si>
  <si>
    <t>WOZ Inzage</t>
  </si>
  <si>
    <t>DROP - OpenWave</t>
  </si>
  <si>
    <t>vergunningen toezicht en handhaving</t>
  </si>
  <si>
    <t>DROP</t>
  </si>
  <si>
    <t>DSO STAM - OpenWave</t>
  </si>
  <si>
    <t>Stadsbeheer</t>
  </si>
  <si>
    <t>DSO</t>
  </si>
  <si>
    <t>KvK Dataservice - PGAx</t>
  </si>
  <si>
    <t>IV</t>
  </si>
  <si>
    <t>KvK Dataservice</t>
  </si>
  <si>
    <t>WOZ Massale bevraging - Gouw belastingen</t>
  </si>
  <si>
    <t>HaalCentraal BRK - PGAx</t>
  </si>
  <si>
    <t>Stadsontwikkeling</t>
  </si>
  <si>
    <t>grondzaken een economie</t>
  </si>
  <si>
    <t>HaalCentraal</t>
  </si>
  <si>
    <t>WOZ Mutatie - Gouw Belastingen</t>
  </si>
  <si>
    <t>Berichtenbox - Postex Platform</t>
  </si>
  <si>
    <t>DSO Stam - OpenWave</t>
  </si>
  <si>
    <t>Financials Unit 4  - Fileshare (ING BANK)</t>
  </si>
  <si>
    <t>Administratie</t>
  </si>
  <si>
    <t>Financials</t>
  </si>
  <si>
    <t>Unit4</t>
  </si>
  <si>
    <t>Motion - Financials Unit 4</t>
  </si>
  <si>
    <t>Motion</t>
  </si>
  <si>
    <t>Gouw Belastingen - Financials Unit 4</t>
  </si>
  <si>
    <t>KvK API - Atabix Formulieren</t>
  </si>
  <si>
    <t>KvK API</t>
  </si>
  <si>
    <t>Key2DataDistributie - OpenWave</t>
  </si>
  <si>
    <t>Key2DataDistributie</t>
  </si>
  <si>
    <t>ProActis - Financials Unit 4</t>
  </si>
  <si>
    <t>ProActis</t>
  </si>
  <si>
    <t>Financials - Proactis</t>
  </si>
  <si>
    <t>Importeren van kostensoort uit Financials naar Esize.</t>
  </si>
  <si>
    <t>PF_Financials_Proactis_ ImportCostAccount_Gesplitst</t>
  </si>
  <si>
    <t>Importeren van projecten en interne veplichtingen uit Financials naar Esize. Voor verschillende borgen</t>
  </si>
  <si>
    <t>PF_Financials_Proactis_ ImportDimension_Gesplitst</t>
  </si>
  <si>
    <t>Importeren crediteuren uit Financials naar Esize.</t>
  </si>
  <si>
    <t>PF_Financials_Proactis_ImportVendor</t>
  </si>
  <si>
    <t>Importeren crediteuren uit Financials naar Esize met toevoeging van Email veld voor verschillende borgen</t>
  </si>
  <si>
    <t>PF_Financials_Proactis_ImportVendor_ v2_Gesplitst</t>
  </si>
  <si>
    <t>Proactis - Financials</t>
  </si>
  <si>
    <t>Importeren van factuur vanuit E-Size in Unit4 Financials. Voor verschillende borgen</t>
  </si>
  <si>
    <t>PF_Proactis_Financials_Invoice_Gesplitst</t>
  </si>
  <si>
    <t>https://osb.ijsselgemeenten.nl/opentunnel/00000001854442996000/inbound/proactis/financials/Invoices</t>
  </si>
  <si>
    <t>Biedt leverancier berichten met 1 leverancier erin aan aan Proactis voor verschillende borgen</t>
  </si>
  <si>
    <t>PF_Financials_Proactis_ImportVendor_per_vendor_Gesplitst</t>
  </si>
  <si>
    <t>S4SD - Financials</t>
  </si>
  <si>
    <t>Verzoeken van S4SD naar Unit4Financials</t>
  </si>
  <si>
    <t>Datalake - Financials</t>
  </si>
  <si>
    <t>Vastgoed</t>
  </si>
  <si>
    <t>Datalake</t>
  </si>
  <si>
    <t>Vision Active B.V.</t>
  </si>
  <si>
    <t>Batch?</t>
  </si>
  <si>
    <t>Recreatex -  Financials?</t>
  </si>
  <si>
    <t>Pakt het record bestand met banktags op transformeert dit naar Financials input_ext put verzoek en biedt dit aan.</t>
  </si>
  <si>
    <t>Recreatex</t>
  </si>
  <si>
    <t>Vintia</t>
  </si>
  <si>
    <t>PF_Recreatex_Financials_verwerk_ recordfile_naar_input_request</t>
  </si>
  <si>
    <t>Recreatex - Financials?</t>
  </si>
  <si>
    <t>Leest factuur of kasmutatie bestand in en maakt 1 bestand per aanwezig factuur of datum en biedt deze aan aan het verwerkingsproces</t>
  </si>
  <si>
    <t>PF_Recreatex_Financials_Splits_Input_ Bestand</t>
  </si>
  <si>
    <t>Financials - XA Ware - webverify</t>
  </si>
  <si>
    <t>Importeren crediteuren uit Financials naar WebVerify.</t>
  </si>
  <si>
    <t>PF_Financials_Webverify_ImportVendor</t>
  </si>
  <si>
    <t>XA Ware - webverify - Djuma</t>
  </si>
  <si>
    <t>PF_XAWare_ScanAPI_Djuma</t>
  </si>
  <si>
    <t>XA Ware - webverify - SoZaWeb</t>
  </si>
  <si>
    <t>XA Ware - webverify - Proactis</t>
  </si>
  <si>
    <t>Xa ware - webverify - Adeptia</t>
  </si>
  <si>
    <t>Adeptia - XA Ware - webverify</t>
  </si>
  <si>
    <t>PF_Proactis_Financials_OrderExport_meerdereBoekingen</t>
  </si>
  <si>
    <t>Proces splitst Proactis OrderExport berichten op in meerdere Financials boekingen</t>
  </si>
  <si>
    <t>GouwIT - Financials</t>
  </si>
  <si>
    <t>Verzoeken van GouwIT naar Unit4Financials</t>
  </si>
  <si>
    <t>LOGICA</t>
  </si>
  <si>
    <t>Tussenstations in het landschap van berichtenverkeer</t>
  </si>
  <si>
    <t>Naam</t>
  </si>
  <si>
    <t>Lokaal / Globaal</t>
  </si>
  <si>
    <t>Beschrijving</t>
  </si>
  <si>
    <t>Leverancier</t>
  </si>
  <si>
    <t>Adeptia</t>
  </si>
  <si>
    <t xml:space="preserve">Lokaal  </t>
  </si>
  <si>
    <t>Servicebus</t>
  </si>
  <si>
    <t>Enable-U</t>
  </si>
  <si>
    <t>Managed integrations</t>
  </si>
  <si>
    <t>Globaal</t>
  </si>
  <si>
    <t>Koppelingen in de cloud</t>
  </si>
  <si>
    <t>Centric Adapters</t>
  </si>
  <si>
    <t>Lokaal</t>
  </si>
  <si>
    <t>Centric Adapters vormen een lokale adapterlaag die Centric-applicaties ontkoppelt van integratieplatformen door Centric-specifieke data en berichten te vertalen naar gestandaardiseerde koppelvlakken (zoals StUF, XML, REST/SOAP).</t>
  </si>
  <si>
    <t>Key2BerichtenModule</t>
  </si>
  <si>
    <t>Digitale brievenbus voor centric-applicaties</t>
  </si>
  <si>
    <t>Gegevensmagazijn voor NPS en BAG data</t>
  </si>
  <si>
    <t>BIDN berichtenportaal</t>
  </si>
  <si>
    <t>Cloud Connector (EUCC)</t>
  </si>
  <si>
    <t>Toegangspoort voor MI-koppelingen</t>
  </si>
  <si>
    <t>Berichtenadapter voor de Suite</t>
  </si>
  <si>
    <t>Gateway</t>
  </si>
  <si>
    <t>Layer7 gateway (2secure)</t>
  </si>
  <si>
    <t>SCIP</t>
  </si>
  <si>
    <t>Voor data-integratie in de openbare ruimte</t>
  </si>
  <si>
    <t>Progresity</t>
  </si>
  <si>
    <t>Proxy voor verkeer tussen PBZ en RDW</t>
  </si>
  <si>
    <t>Archi Relations.csv</t>
  </si>
  <si>
    <t>ID</t>
  </si>
  <si>
    <t>Type</t>
  </si>
  <si>
    <t>Name</t>
  </si>
  <si>
    <t>Documentation</t>
  </si>
  <si>
    <t>Source</t>
  </si>
  <si>
    <t>Target</t>
  </si>
  <si>
    <t>Specialization</t>
  </si>
  <si>
    <t>id-001758972b494016a24a7c0ba4ceaee5</t>
  </si>
  <si>
    <t>AccessRelationship</t>
  </si>
  <si>
    <t>id-2e67216e15724f4fa428cf16f5df77a1</t>
  </si>
  <si>
    <t>id-24820e338b1a4e1c9cd8733300161649</t>
  </si>
  <si>
    <t>id-0720c7bef15844d4a324c9578d956ec2</t>
  </si>
  <si>
    <t>id-874de524781e41b8afdd433e0274f561</t>
  </si>
  <si>
    <t>id-7d7f78843d9d4b5eb20b99e8fbd50fd2</t>
  </si>
  <si>
    <t>id-077248a34a284e03939f5a1d5d7e92c2</t>
  </si>
  <si>
    <t>id-1990938d7144485eb080a1d4ef40f417</t>
  </si>
  <si>
    <t>id-cdc3a077dc184c01a8ba9d23f95f9671</t>
  </si>
  <si>
    <t>Status</t>
  </si>
  <si>
    <t>Netwerktype</t>
  </si>
  <si>
    <t>Wat is de koppeling alias. Syntax is: &lt;bron&gt;-&lt;doel&gt;#_&lt;dataobject&gt;</t>
  </si>
  <si>
    <t>Welke controles of transformaties vinden plaats?
vb: “Basiscontroles in ESB”, “Virusscan”, “Mapping naar doelmodel”.</t>
  </si>
  <si>
    <t>Is de uitwisseling manueel of automatisch (en met welke frequentie)?</t>
  </si>
  <si>
    <t>Wordt verkeer gelogd en gecontroleerd? bv. Ja, cerntraal via onze ESB (Managed Integrations)</t>
  </si>
  <si>
    <t>Waardenbereik: vrije-veld.</t>
  </si>
  <si>
    <t>Waardenbereik: vrije-veld</t>
  </si>
  <si>
    <t>Waardenbereik: vast waardenreeks 'Gemeenten'</t>
  </si>
  <si>
    <t>Waardenbereik: vaste waardenreeks 'Domein / Taakveld'</t>
  </si>
  <si>
    <t>Waardenbereik: vast waardenreeks 'Unit '</t>
  </si>
  <si>
    <t>Waardenbereik: vast waardenreeks ' Standaard' gebruik</t>
  </si>
  <si>
    <t>Waardenbereik: vast waardenreeks 'Integratie patroon'</t>
  </si>
  <si>
    <t>Waardenbereik: vast waardenreeks ' Wijze '</t>
  </si>
  <si>
    <t>Waardenbereik: vast waardenreeks ' Protocol '</t>
  </si>
  <si>
    <t>Waardenbereik: vast waardenreeks 'Dataformat'</t>
  </si>
  <si>
    <t>Waardenbereik: vast waardenreeks 'Techniek'</t>
  </si>
  <si>
    <t>Waardenbereik: vast waardenreeks ' Middleware '</t>
  </si>
  <si>
    <t>Waardenbereik: vast waardenreeks ' Gegevensclassificatie '</t>
  </si>
  <si>
    <t>Waardenbereik: vast waardenreeks 'Transportbeveiliging'</t>
  </si>
  <si>
    <t>Waardenbereik: vast waardenreeks 'Documentatie beschikbaar'</t>
  </si>
  <si>
    <t>Alle</t>
  </si>
  <si>
    <t>Communicatie,Woordvoering en Kabinet</t>
  </si>
  <si>
    <t>Point-to-Point</t>
  </si>
  <si>
    <r>
      <t>XML</t>
    </r>
    <r>
      <rPr>
        <sz val="11"/>
        <color theme="1"/>
        <rFont val="Aptos Narrow"/>
        <family val="2"/>
        <scheme val="minor"/>
      </rPr>
      <t xml:space="preserve"> (vaak als payload in SOAP of bestand)</t>
    </r>
  </si>
  <si>
    <t>BCO</t>
  </si>
  <si>
    <t>Human Resources</t>
  </si>
  <si>
    <r>
      <t>SOAP over HTTPS</t>
    </r>
    <r>
      <rPr>
        <sz val="11"/>
        <color theme="1"/>
        <rFont val="Aptos Narrow"/>
        <family val="2"/>
        <scheme val="minor"/>
      </rPr>
      <t xml:space="preserve"> (veel gebruikt bij oudere StUF-koppelingen)</t>
    </r>
  </si>
  <si>
    <r>
      <t>CSV / Excel-bestanden</t>
    </r>
    <r>
      <rPr>
        <sz val="11"/>
        <color theme="1"/>
        <rFont val="Aptos Narrow"/>
        <family val="2"/>
        <scheme val="minor"/>
      </rPr>
      <t xml:space="preserve"> (voor batchuitwisseling)</t>
    </r>
  </si>
  <si>
    <t>TLS 1.3;</t>
  </si>
  <si>
    <t>Juridische Zaken en Inkoop</t>
  </si>
  <si>
    <t>Digikoppeling (ebMS2)</t>
  </si>
  <si>
    <t>Manueel/Automatisch</t>
  </si>
  <si>
    <r>
      <t>REST/JSON over HTTPS</t>
    </r>
    <r>
      <rPr>
        <sz val="11"/>
        <color theme="1"/>
        <rFont val="Aptos Narrow"/>
        <family val="2"/>
        <scheme val="minor"/>
      </rPr>
      <t xml:space="preserve"> (steeds meer via API’s / Common Ground)</t>
    </r>
  </si>
  <si>
    <r>
      <t>JSON</t>
    </r>
    <r>
      <rPr>
        <sz val="11"/>
        <color theme="1"/>
        <rFont val="Aptos Narrow"/>
        <family val="2"/>
        <scheme val="minor"/>
      </rPr>
      <t xml:space="preserve"> (payload bij REST)</t>
    </r>
  </si>
  <si>
    <t>IBKW</t>
  </si>
  <si>
    <t>Veiligheid</t>
  </si>
  <si>
    <t>Digikoppeling (AS4)</t>
  </si>
  <si>
    <r>
      <t>FTP</t>
    </r>
    <r>
      <rPr>
        <sz val="11"/>
        <color theme="1"/>
        <rFont val="Aptos Narrow"/>
        <family val="2"/>
        <scheme val="minor"/>
      </rPr>
      <t xml:space="preserve"> (oud, nog vaak voor batchuitwisseling)</t>
    </r>
  </si>
  <si>
    <t>Excel</t>
  </si>
  <si>
    <t>IPSec</t>
  </si>
  <si>
    <t>Taakgroep strategie</t>
  </si>
  <si>
    <t>Digikoppeling (REST/API)</t>
  </si>
  <si>
    <r>
      <t>SFTP</t>
    </r>
    <r>
      <rPr>
        <sz val="11"/>
        <color theme="1"/>
        <rFont val="Aptos Narrow"/>
        <family val="2"/>
        <scheme val="minor"/>
      </rPr>
      <t xml:space="preserve"> (de veilige opvolger van FTP)</t>
    </r>
  </si>
  <si>
    <t>taakgroep gebiedsregie</t>
  </si>
  <si>
    <t>API Gateway / API-first</t>
  </si>
  <si>
    <r>
      <t>FTPS</t>
    </r>
    <r>
      <rPr>
        <sz val="11"/>
        <color theme="1"/>
        <rFont val="Aptos Narrow"/>
        <family val="2"/>
        <scheme val="minor"/>
      </rPr>
      <t xml:space="preserve"> (FTP over SSL/TLS, komt ook voor)</t>
    </r>
  </si>
  <si>
    <t>Plain text</t>
  </si>
  <si>
    <t>BRP Mailboxserver</t>
  </si>
  <si>
    <r>
      <t>TCP/IP</t>
    </r>
    <r>
      <rPr>
        <sz val="11"/>
        <color theme="1"/>
        <rFont val="Aptos Narrow"/>
        <family val="2"/>
        <scheme val="minor"/>
      </rPr>
      <t xml:space="preserve"> (meestal als onderliggend transport, maar soms expliciet genoemd)</t>
    </r>
  </si>
  <si>
    <t>Diensten</t>
  </si>
  <si>
    <t>Shared Database (niet wenselijk)</t>
  </si>
  <si>
    <t>Informatie</t>
  </si>
  <si>
    <t>StUF-DCR</t>
  </si>
  <si>
    <t>Service Orchestration</t>
  </si>
  <si>
    <t>StUF-TF</t>
  </si>
  <si>
    <t>StUF-LVO</t>
  </si>
  <si>
    <t>StUF-IMGeo</t>
  </si>
  <si>
    <t>Beleid en Advies</t>
  </si>
  <si>
    <t>StUF-Wkpb</t>
  </si>
  <si>
    <t>Maatschappelijke zorg en participatie</t>
  </si>
  <si>
    <t>frontlijn</t>
  </si>
  <si>
    <t>iWmo</t>
  </si>
  <si>
    <t>jeugd ducatie en vrije tijd</t>
  </si>
  <si>
    <t>iJw</t>
  </si>
  <si>
    <t>iEb</t>
  </si>
  <si>
    <t>uitvoering</t>
  </si>
  <si>
    <t>iPgb</t>
  </si>
  <si>
    <t>project- en ingenieursbureau</t>
  </si>
  <si>
    <t>RSGB</t>
  </si>
  <si>
    <t>ruimtelijke ontwikkeling</t>
  </si>
  <si>
    <t>GWSW</t>
  </si>
  <si>
    <t>projectontwikkeling</t>
  </si>
  <si>
    <t>OLO</t>
  </si>
  <si>
    <t>DSO (Omgevingswet)</t>
  </si>
  <si>
    <t>duurzaamheid milieu en wonen.</t>
  </si>
  <si>
    <t>Automatisering</t>
  </si>
  <si>
    <t>Referentie van de koppeling</t>
  </si>
  <si>
    <t>Syntax</t>
  </si>
  <si>
    <t>GGK-S4SD001-Zorgdata</t>
  </si>
  <si>
    <t>bron</t>
  </si>
  <si>
    <t>doel</t>
  </si>
  <si>
    <t>nummer</t>
  </si>
  <si>
    <t>dataobject</t>
  </si>
  <si>
    <t>4 characters</t>
  </si>
  <si>
    <t># 001 tot 999</t>
  </si>
  <si>
    <t>Variabele Characters</t>
  </si>
  <si>
    <t>Regelnummer</t>
  </si>
  <si>
    <t>Onderdeel</t>
  </si>
  <si>
    <t>Opbouw</t>
  </si>
  <si>
    <t>&lt;BRON&gt;-&lt;DOEL&gt;-&lt;VOLGNUMMER&gt;_&lt;GEGEVENSET&gt;</t>
  </si>
  <si>
    <t>Bron en Doel</t>
  </si>
  <si>
    <t>Beide bestaan uit exact 4 hoofdletters; vierde letter is gemeentecode indien van toepassing.</t>
  </si>
  <si>
    <t>Volgnummer</t>
  </si>
  <si>
    <t>Driecijferig oplopend (001, 002, 003) en uniek binnen bron–doel.</t>
  </si>
  <si>
    <t>Voluit uitschrijven; woorden met spaties; voorafgegaan door een underscore.</t>
  </si>
  <si>
    <t>Karakters</t>
  </si>
  <si>
    <t>Alleen '-' en '_' toegestaan; geen spaties vóór de underscore; BRON/DOEL altijd uppercase.</t>
  </si>
  <si>
    <t>Uniciteit</t>
  </si>
  <si>
    <t>Elke interface-referentie moet uniek zijn binnen het koppelregister.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</si>
</sst>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sz val="12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6"/>
      <color rgb="FF00000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</font>
    <font>
      <b/>
      <sz val="12"/>
      <color theme="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2"/>
      <color theme="4" tint="0.39997558519241921"/>
      <name val="Aptos Narrow"/>
      <family val="2"/>
      <scheme val="minor"/>
    </font>
    <font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467886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/>
    <xf numFmtId="0" fontId="0" fillId="3" borderId="1" xfId="0" applyFill="1" applyBorder="1"/>
    <xf numFmtId="0" fontId="5" fillId="0" borderId="0" xfId="0" applyFont="1"/>
    <xf numFmtId="14" fontId="2" fillId="0" borderId="1" xfId="0" applyNumberFormat="1" applyFont="1" applyBorder="1"/>
    <xf numFmtId="0" fontId="4" fillId="5" borderId="3" xfId="0" applyFont="1" applyFill="1" applyBorder="1"/>
    <xf numFmtId="0" fontId="8" fillId="0" borderId="1" xfId="0" applyFont="1" applyBorder="1"/>
    <xf numFmtId="0" fontId="0" fillId="0" borderId="4" xfId="0" applyBorder="1"/>
    <xf numFmtId="0" fontId="2" fillId="7" borderId="0" xfId="0" applyFont="1" applyFill="1"/>
    <xf numFmtId="0" fontId="9" fillId="6" borderId="8" xfId="0" applyFont="1" applyFill="1" applyBorder="1"/>
    <xf numFmtId="0" fontId="0" fillId="0" borderId="9" xfId="0" applyBorder="1"/>
    <xf numFmtId="0" fontId="0" fillId="0" borderId="10" xfId="0" applyBorder="1"/>
    <xf numFmtId="0" fontId="11" fillId="2" borderId="12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13" fillId="0" borderId="0" xfId="0" applyFont="1"/>
    <xf numFmtId="0" fontId="6" fillId="6" borderId="14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14" fillId="0" borderId="4" xfId="0" applyFont="1" applyBorder="1"/>
    <xf numFmtId="0" fontId="11" fillId="5" borderId="13" xfId="0" applyFont="1" applyFill="1" applyBorder="1" applyAlignment="1">
      <alignment wrapText="1"/>
    </xf>
    <xf numFmtId="0" fontId="11" fillId="5" borderId="8" xfId="0" applyFont="1" applyFill="1" applyBorder="1" applyAlignment="1">
      <alignment wrapText="1"/>
    </xf>
    <xf numFmtId="0" fontId="0" fillId="0" borderId="8" xfId="0" applyBorder="1"/>
    <xf numFmtId="0" fontId="0" fillId="3" borderId="0" xfId="0" applyFill="1"/>
    <xf numFmtId="0" fontId="10" fillId="2" borderId="6" xfId="0" applyFont="1" applyFill="1" applyBorder="1" applyAlignment="1">
      <alignment wrapText="1"/>
    </xf>
    <xf numFmtId="0" fontId="6" fillId="6" borderId="17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11" fillId="2" borderId="20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0" fillId="0" borderId="7" xfId="0" applyBorder="1"/>
    <xf numFmtId="0" fontId="0" fillId="0" borderId="11" xfId="0" applyBorder="1"/>
    <xf numFmtId="0" fontId="0" fillId="10" borderId="0" xfId="0" applyFill="1"/>
    <xf numFmtId="0" fontId="6" fillId="6" borderId="21" xfId="0" applyFont="1" applyFill="1" applyBorder="1" applyAlignment="1">
      <alignment vertical="center"/>
    </xf>
    <xf numFmtId="0" fontId="15" fillId="0" borderId="10" xfId="0" applyFont="1" applyBorder="1"/>
    <xf numFmtId="0" fontId="11" fillId="7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0" fillId="2" borderId="22" xfId="0" applyFont="1" applyFill="1" applyBorder="1" applyAlignment="1">
      <alignment wrapText="1"/>
    </xf>
    <xf numFmtId="0" fontId="11" fillId="2" borderId="19" xfId="0" applyFont="1" applyFill="1" applyBorder="1" applyAlignment="1">
      <alignment wrapText="1"/>
    </xf>
    <xf numFmtId="0" fontId="11" fillId="2" borderId="23" xfId="0" applyFont="1" applyFill="1" applyBorder="1" applyAlignment="1">
      <alignment wrapText="1"/>
    </xf>
    <xf numFmtId="0" fontId="11" fillId="2" borderId="24" xfId="0" applyFont="1" applyFill="1" applyBorder="1" applyAlignment="1">
      <alignment wrapText="1"/>
    </xf>
    <xf numFmtId="0" fontId="0" fillId="9" borderId="4" xfId="0" applyFill="1" applyBorder="1" applyAlignment="1">
      <alignment horizontal="center"/>
    </xf>
    <xf numFmtId="0" fontId="0" fillId="0" borderId="16" xfId="0" applyBorder="1"/>
    <xf numFmtId="0" fontId="6" fillId="6" borderId="2" xfId="0" applyFont="1" applyFill="1" applyBorder="1" applyAlignment="1">
      <alignment vertical="center"/>
    </xf>
    <xf numFmtId="0" fontId="0" fillId="4" borderId="1" xfId="0" applyFill="1" applyBorder="1"/>
    <xf numFmtId="0" fontId="10" fillId="2" borderId="33" xfId="0" applyFont="1" applyFill="1" applyBorder="1" applyAlignment="1">
      <alignment wrapText="1"/>
    </xf>
    <xf numFmtId="0" fontId="10" fillId="2" borderId="35" xfId="0" applyFont="1" applyFill="1" applyBorder="1" applyAlignment="1">
      <alignment wrapText="1"/>
    </xf>
    <xf numFmtId="0" fontId="11" fillId="2" borderId="34" xfId="0" applyFont="1" applyFill="1" applyBorder="1" applyAlignment="1">
      <alignment wrapText="1"/>
    </xf>
    <xf numFmtId="0" fontId="11" fillId="2" borderId="36" xfId="0" applyFont="1" applyFill="1" applyBorder="1" applyAlignment="1">
      <alignment wrapText="1"/>
    </xf>
    <xf numFmtId="0" fontId="11" fillId="2" borderId="35" xfId="0" applyFont="1" applyFill="1" applyBorder="1" applyAlignment="1">
      <alignment wrapText="1"/>
    </xf>
    <xf numFmtId="0" fontId="12" fillId="3" borderId="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wrapText="1"/>
    </xf>
    <xf numFmtId="0" fontId="16" fillId="6" borderId="2" xfId="0" applyFont="1" applyFill="1" applyBorder="1" applyAlignment="1">
      <alignment vertical="center"/>
    </xf>
    <xf numFmtId="0" fontId="11" fillId="2" borderId="37" xfId="0" applyFont="1" applyFill="1" applyBorder="1" applyAlignment="1">
      <alignment wrapText="1"/>
    </xf>
    <xf numFmtId="0" fontId="17" fillId="0" borderId="4" xfId="0" applyFont="1" applyBorder="1"/>
    <xf numFmtId="0" fontId="0" fillId="3" borderId="0" xfId="0" applyFill="1" applyAlignment="1">
      <alignment horizontal="center"/>
    </xf>
    <xf numFmtId="0" fontId="18" fillId="12" borderId="1" xfId="0" applyFont="1" applyFill="1" applyBorder="1"/>
    <xf numFmtId="0" fontId="18" fillId="12" borderId="38" xfId="0" applyFont="1" applyFill="1" applyBorder="1"/>
    <xf numFmtId="0" fontId="18" fillId="12" borderId="1" xfId="0" quotePrefix="1" applyFont="1" applyFill="1" applyBorder="1"/>
    <xf numFmtId="0" fontId="18" fillId="12" borderId="1" xfId="0" applyFont="1" applyFill="1" applyBorder="1" applyAlignment="1">
      <alignment wrapText="1"/>
    </xf>
    <xf numFmtId="0" fontId="18" fillId="13" borderId="1" xfId="0" applyFont="1" applyFill="1" applyBorder="1"/>
    <xf numFmtId="0" fontId="11" fillId="14" borderId="34" xfId="0" applyFont="1" applyFill="1" applyBorder="1" applyAlignment="1">
      <alignment wrapText="1"/>
    </xf>
    <xf numFmtId="0" fontId="18" fillId="12" borderId="39" xfId="0" applyFont="1" applyFill="1" applyBorder="1"/>
    <xf numFmtId="0" fontId="18" fillId="12" borderId="4" xfId="0" applyFont="1" applyFill="1" applyBorder="1"/>
    <xf numFmtId="0" fontId="18" fillId="12" borderId="2" xfId="0" applyFont="1" applyFill="1" applyBorder="1"/>
    <xf numFmtId="0" fontId="18" fillId="3" borderId="39" xfId="0" applyFont="1" applyFill="1" applyBorder="1"/>
    <xf numFmtId="0" fontId="18" fillId="3" borderId="4" xfId="0" applyFont="1" applyFill="1" applyBorder="1"/>
    <xf numFmtId="0" fontId="18" fillId="3" borderId="2" xfId="0" applyFont="1" applyFill="1" applyBorder="1"/>
    <xf numFmtId="0" fontId="0" fillId="3" borderId="40" xfId="0" applyFill="1" applyBorder="1"/>
    <xf numFmtId="0" fontId="0" fillId="3" borderId="38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1" xfId="0" quotePrefix="1" applyFill="1" applyBorder="1"/>
    <xf numFmtId="0" fontId="0" fillId="3" borderId="38" xfId="0" quotePrefix="1" applyFill="1" applyBorder="1"/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44" xfId="0" applyBorder="1"/>
    <xf numFmtId="0" fontId="0" fillId="0" borderId="45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21" fillId="3" borderId="1" xfId="1" applyFill="1" applyBorder="1"/>
    <xf numFmtId="0" fontId="20" fillId="3" borderId="1" xfId="0" applyFont="1" applyFill="1" applyBorder="1"/>
    <xf numFmtId="0" fontId="0" fillId="3" borderId="39" xfId="0" applyFill="1" applyBorder="1"/>
    <xf numFmtId="0" fontId="0" fillId="3" borderId="2" xfId="0" applyFill="1" applyBorder="1"/>
    <xf numFmtId="0" fontId="0" fillId="3" borderId="4" xfId="0" applyFill="1" applyBorder="1"/>
    <xf numFmtId="0" fontId="12" fillId="3" borderId="46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vertical="center"/>
    </xf>
    <xf numFmtId="0" fontId="10" fillId="2" borderId="47" xfId="0" applyFont="1" applyFill="1" applyBorder="1" applyAlignment="1">
      <alignment wrapText="1"/>
    </xf>
    <xf numFmtId="0" fontId="17" fillId="3" borderId="0" xfId="0" applyFont="1" applyFill="1"/>
    <xf numFmtId="0" fontId="18" fillId="3" borderId="1" xfId="0" applyFont="1" applyFill="1" applyBorder="1"/>
    <xf numFmtId="0" fontId="0" fillId="3" borderId="47" xfId="0" applyFill="1" applyBorder="1"/>
    <xf numFmtId="0" fontId="0" fillId="3" borderId="8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49" xfId="0" applyFill="1" applyBorder="1"/>
    <xf numFmtId="0" fontId="0" fillId="3" borderId="50" xfId="0" applyFill="1" applyBorder="1"/>
    <xf numFmtId="0" fontId="0" fillId="3" borderId="48" xfId="0" applyFill="1" applyBorder="1"/>
    <xf numFmtId="0" fontId="22" fillId="3" borderId="1" xfId="0" applyFont="1" applyFill="1" applyBorder="1"/>
    <xf numFmtId="0" fontId="0" fillId="0" borderId="34" xfId="0" applyBorder="1"/>
    <xf numFmtId="0" fontId="0" fillId="3" borderId="8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34" xfId="0" applyFill="1" applyBorder="1" applyAlignment="1">
      <alignment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wrapText="1"/>
    </xf>
    <xf numFmtId="0" fontId="6" fillId="6" borderId="28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29" xfId="0" applyFont="1" applyFill="1" applyBorder="1" applyAlignment="1">
      <alignment vertical="center" wrapText="1"/>
    </xf>
    <xf numFmtId="0" fontId="19" fillId="6" borderId="28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19" fillId="6" borderId="29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6" fillId="8" borderId="15" xfId="0" applyFont="1" applyFill="1" applyBorder="1" applyAlignment="1">
      <alignment vertical="center" wrapText="1"/>
    </xf>
    <xf numFmtId="0" fontId="17" fillId="3" borderId="0" xfId="0" applyFont="1" applyFill="1" applyAlignment="1">
      <alignment wrapText="1"/>
    </xf>
    <xf numFmtId="0" fontId="0" fillId="3" borderId="1" xfId="0" quotePrefix="1" applyFill="1" applyBorder="1" applyAlignment="1">
      <alignment wrapText="1"/>
    </xf>
    <xf numFmtId="0" fontId="21" fillId="3" borderId="1" xfId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47" xfId="0" applyFill="1" applyBorder="1" applyAlignment="1">
      <alignment wrapText="1"/>
    </xf>
    <xf numFmtId="0" fontId="0" fillId="3" borderId="33" xfId="0" applyFill="1" applyBorder="1" applyAlignment="1">
      <alignment wrapText="1"/>
    </xf>
    <xf numFmtId="0" fontId="0" fillId="3" borderId="48" xfId="0" applyFill="1" applyBorder="1" applyAlignment="1">
      <alignment wrapText="1"/>
    </xf>
    <xf numFmtId="0" fontId="0" fillId="3" borderId="42" xfId="0" applyFill="1" applyBorder="1" applyAlignment="1">
      <alignment wrapText="1"/>
    </xf>
    <xf numFmtId="0" fontId="0" fillId="3" borderId="49" xfId="0" applyFill="1" applyBorder="1" applyAlignment="1">
      <alignment wrapText="1"/>
    </xf>
    <xf numFmtId="0" fontId="0" fillId="3" borderId="50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3" borderId="38" xfId="0" applyFill="1" applyBorder="1" applyAlignment="1">
      <alignment wrapText="1"/>
    </xf>
    <xf numFmtId="0" fontId="0" fillId="3" borderId="41" xfId="0" applyFill="1" applyBorder="1" applyAlignment="1">
      <alignment wrapText="1"/>
    </xf>
    <xf numFmtId="0" fontId="0" fillId="3" borderId="43" xfId="0" applyFill="1" applyBorder="1" applyAlignment="1">
      <alignment wrapText="1"/>
    </xf>
    <xf numFmtId="0" fontId="0" fillId="15" borderId="33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40" xfId="0" applyFill="1" applyBorder="1" applyAlignment="1">
      <alignment wrapText="1"/>
    </xf>
    <xf numFmtId="0" fontId="0" fillId="3" borderId="42" xfId="0" quotePrefix="1" applyFill="1" applyBorder="1" applyAlignment="1">
      <alignment wrapText="1"/>
    </xf>
    <xf numFmtId="0" fontId="0" fillId="3" borderId="38" xfId="0" quotePrefix="1" applyFill="1" applyBorder="1" applyAlignment="1">
      <alignment wrapText="1"/>
    </xf>
    <xf numFmtId="0" fontId="21" fillId="3" borderId="34" xfId="1" applyFill="1" applyBorder="1" applyAlignment="1">
      <alignment wrapText="1"/>
    </xf>
    <xf numFmtId="0" fontId="0" fillId="0" borderId="4" xfId="0" applyBorder="1" applyAlignment="1">
      <alignment wrapText="1"/>
    </xf>
    <xf numFmtId="0" fontId="2" fillId="7" borderId="4" xfId="0" applyFont="1" applyFill="1" applyBorder="1"/>
    <xf numFmtId="0" fontId="0" fillId="0" borderId="1" xfId="0" quotePrefix="1" applyBorder="1" applyAlignment="1">
      <alignment wrapText="1"/>
    </xf>
    <xf numFmtId="0" fontId="21" fillId="0" borderId="0" xfId="1" applyFill="1"/>
    <xf numFmtId="0" fontId="21" fillId="0" borderId="1" xfId="1" applyFill="1" applyBorder="1"/>
    <xf numFmtId="0" fontId="0" fillId="3" borderId="54" xfId="0" applyFill="1" applyBorder="1" applyAlignment="1">
      <alignment wrapText="1"/>
    </xf>
    <xf numFmtId="0" fontId="18" fillId="17" borderId="1" xfId="0" applyFont="1" applyFill="1" applyBorder="1"/>
    <xf numFmtId="0" fontId="18" fillId="17" borderId="39" xfId="0" applyFont="1" applyFill="1" applyBorder="1"/>
    <xf numFmtId="0" fontId="24" fillId="0" borderId="0" xfId="0" applyFont="1"/>
    <xf numFmtId="0" fontId="17" fillId="0" borderId="0" xfId="0" applyFont="1"/>
    <xf numFmtId="0" fontId="0" fillId="0" borderId="55" xfId="0" applyBorder="1" applyAlignment="1">
      <alignment wrapText="1"/>
    </xf>
    <xf numFmtId="0" fontId="21" fillId="0" borderId="4" xfId="1" applyBorder="1"/>
    <xf numFmtId="0" fontId="0" fillId="0" borderId="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1" xfId="0" applyBorder="1" applyAlignment="1">
      <alignment horizontal="left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/>
    </xf>
    <xf numFmtId="0" fontId="23" fillId="4" borderId="51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/>
    </xf>
    <xf numFmtId="0" fontId="23" fillId="4" borderId="53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Standaard" xfId="0" builtinId="0"/>
  </cellStyles>
  <dxfs count="36"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rgb="FF000000"/>
        </left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rgb="FF000000"/>
        </left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4</xdr:row>
      <xdr:rowOff>11764</xdr:rowOff>
    </xdr:from>
    <xdr:to>
      <xdr:col>7</xdr:col>
      <xdr:colOff>1247778</xdr:colOff>
      <xdr:row>4</xdr:row>
      <xdr:rowOff>178736</xdr:rowOff>
    </xdr:to>
    <xdr:sp macro="" textlink="">
      <xdr:nvSpPr>
        <xdr:cNvPr id="2" name="Rechteraccolade 1">
          <a:extLst>
            <a:ext uri="{FF2B5EF4-FFF2-40B4-BE49-F238E27FC236}">
              <a16:creationId xmlns:a16="http://schemas.microsoft.com/office/drawing/2014/main" id="{9E901DD0-0B17-DCEE-0AA3-C7B769D9E837}"/>
            </a:ext>
          </a:extLst>
        </xdr:cNvPr>
        <xdr:cNvSpPr/>
      </xdr:nvSpPr>
      <xdr:spPr>
        <a:xfrm rot="16200000">
          <a:off x="5269566" y="-2162177"/>
          <a:ext cx="166972" cy="6038853"/>
        </a:xfrm>
        <a:prstGeom prst="rightBrace">
          <a:avLst/>
        </a:prstGeom>
        <a:ln w="31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nl-NL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EA7F16-78EA-4F2D-AF1B-785EAABB1A84}" name="Tabel2" displayName="Tabel2" ref="C2:AK52" totalsRowShown="0" headerRowDxfId="35" headerRowBorderDxfId="34">
  <autoFilter ref="C2:AK52" xr:uid="{C2EA7F16-78EA-4F2D-AF1B-785EAABB1A84}">
    <filterColumn colId="23">
      <filters>
        <filter val="EnableU Managed Integrations (Cloud)"/>
        <filter val="EnableU Managed Integrations (Cloud) &amp; MessageHandler"/>
        <filter val="EnableU on prem"/>
        <filter val="EnableU on prem en MessageHandler"/>
      </filters>
    </filterColumn>
  </autoFilter>
  <tableColumns count="35">
    <tableColumn id="1" xr3:uid="{6863C895-7B67-4AAC-90E6-96A67911ABEB}" name="Koppelingsreferentie"/>
    <tableColumn id="16" xr3:uid="{5359BE62-14C1-44AD-9351-C66AA9B49933}" name="Naam koppeling (data van naar)" dataDxfId="33"/>
    <tableColumn id="36" xr3:uid="{50379922-2214-4473-9AF2-D071D703098D}" name="Interface beschrijving (doel)" dataDxfId="32"/>
    <tableColumn id="17" xr3:uid="{499C2087-6132-42BF-9505-663F58D9F589}" name="Gemeente / Organisatie" dataDxfId="31"/>
    <tableColumn id="18" xr3:uid="{27A8518B-13E7-4ABD-8E57-2A7569208A3F}" name="Domein / Taakveld" dataDxfId="30"/>
    <tableColumn id="2" xr3:uid="{C0BADB89-2E6B-434C-BC64-1DDE21F5D45C}" name="Unit " dataDxfId="29"/>
    <tableColumn id="13" xr3:uid="{206C68DC-9370-4F5E-8AA6-35000D2FB233}" name="Bronapplicatie" dataDxfId="28"/>
    <tableColumn id="15" xr3:uid="{7BECD286-D7AD-47FF-82CE-A57A04FCDB77}" name="Bron-leverancier" dataDxfId="27"/>
    <tableColumn id="5" xr3:uid="{1F2CFA44-0FEE-4D9D-9D73-02F006194A51}" name="Gegevensset" dataDxfId="26"/>
    <tableColumn id="14" xr3:uid="{B9A7410A-55A1-449B-89E7-497814528E95}" name="Standaard gebruik" dataDxfId="25"/>
    <tableColumn id="12" xr3:uid="{0093312C-D20B-4364-B5C8-06C8661AD70A}" name="Standaard Versie/Profiel" dataDxfId="24"/>
    <tableColumn id="3" xr3:uid="{98E02B77-057B-4EDD-927C-A1A03DC50FA0}" name="Frequentie" dataDxfId="23"/>
    <tableColumn id="19" xr3:uid="{601A7BBD-4F84-437D-AFCC-FC586D0E48A4}" name="Datavolume" dataDxfId="22"/>
    <tableColumn id="20" xr3:uid="{D166A7ED-8935-4AC3-84A5-C3868A26F728}" name="Doelapplicatie" dataDxfId="21"/>
    <tableColumn id="21" xr3:uid="{5B082A1E-08DE-47F7-8FB2-05CF03F8FAF0}" name="Doel-leverancier" dataDxfId="20"/>
    <tableColumn id="22" xr3:uid="{0E8D67E1-0DF6-4003-BD60-CF056604164C}" name="Gegevensverwerking" dataDxfId="19"/>
    <tableColumn id="23" xr3:uid="{36032ABE-2CFB-466A-9390-A1C2159C75E3}" name="Validatie / Bewerking" dataDxfId="18"/>
    <tableColumn id="6" xr3:uid="{04C3F0E3-708C-47B2-BE54-85F46E9A9C75}" name="Integratie patroon" dataDxfId="17"/>
    <tableColumn id="8" xr3:uid="{76312F3D-B03C-49DD-8F58-9B1578CA0491}" name="Wijze" dataDxfId="16"/>
    <tableColumn id="32" xr3:uid="{3FA80306-E453-4E0D-B7FC-D6DB660AFFBD}" name="Protocol" dataDxfId="15"/>
    <tableColumn id="9" xr3:uid="{8E73AF82-1827-4443-910C-65B66F2B494B}" name="Endpoint URL" dataDxfId="14"/>
    <tableColumn id="31" xr3:uid="{B6604910-2D9A-4686-A39A-90CBB5785108}" name="Dataformat" dataDxfId="13"/>
    <tableColumn id="33" xr3:uid="{050F350C-1247-4625-B198-DA2B04CB0EC8}" name="Techniek" dataDxfId="12"/>
    <tableColumn id="7" xr3:uid="{A8B616B8-5F86-4D65-A805-2DEAA9782935}" name="Middleware" dataDxfId="11"/>
    <tableColumn id="24" xr3:uid="{09BCCA12-C617-4B02-950E-8B6CD29DACCA}" name="Gegevensclassificatie" dataDxfId="10"/>
    <tableColumn id="25" xr3:uid="{3B6F65DC-7886-4C35-9535-7E0D1895D9D2}" name="Transportbeveiliging" dataDxfId="9"/>
    <tableColumn id="4" xr3:uid="{CB0DC5C1-14F2-426E-A5F3-6760A9DF5BC1}" name="Koppelingsrichting" dataDxfId="8"/>
    <tableColumn id="35" xr3:uid="{6784A9BB-14F1-455F-A9AB-2A199EBE3F48}" name="Netwerkverbinding" dataDxfId="7"/>
    <tableColumn id="26" xr3:uid="{AD0DA388-8689-46EF-A5E1-5707963B0573}" name="Authenticatie / Authorisatie" dataDxfId="6"/>
    <tableColumn id="37" xr3:uid="{D076405C-3809-48B9-8479-5E81D52512D1}" name="Logging / Monitoring" dataDxfId="5"/>
    <tableColumn id="38" xr3:uid="{1083BAFD-63FA-414E-BEB1-1AB7F466E2FC}" name="Verwerkersovereenkomst" dataDxfId="4"/>
    <tableColumn id="27" xr3:uid="{B1829838-BA01-46FE-A0B8-BD2CC18A9B21}" name="Technisch Beheerder" dataDxfId="3"/>
    <tableColumn id="28" xr3:uid="{D87BFFF3-735D-4281-87E8-0286DA68B6FC}" name="Versie koppeling" dataDxfId="2"/>
    <tableColumn id="29" xr3:uid="{BF1A3532-FC13-4F8C-8731-1B0A622CB6AE}" name="SLA / Contractueel vastgelegd?" dataDxfId="1"/>
    <tableColumn id="30" xr3:uid="{D198D24A-13C7-43F1-8FCC-83223F97048C}" name="Bekende Knelpunt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rij-eucc-p01.ijsselgemeenten.nl:7443/opentunnel/00000001001877045000/prod/s4sd/naar/ggk" TargetMode="External"/><Relationship Id="rId18" Type="http://schemas.openxmlformats.org/officeDocument/2006/relationships/hyperlink" Target="http://kri-cemsh-p01.ijsselgemeenten.nl/MessageHandler.svc/xn2" TargetMode="External"/><Relationship Id="rId26" Type="http://schemas.openxmlformats.org/officeDocument/2006/relationships/hyperlink" Target="https://osb.ijsselgemeenten.nl/opentunnel/00000001854442996000/prod/xxllnc/stuf/afnemerindicatie" TargetMode="External"/><Relationship Id="rId3" Type="http://schemas.openxmlformats.org/officeDocument/2006/relationships/hyperlink" Target="http://grij-cemsh-p01.ijsselgemeenten.nl/MessageHandler.svc/xn2%20(172.25.121.117)" TargetMode="External"/><Relationship Id="rId21" Type="http://schemas.openxmlformats.org/officeDocument/2006/relationships/hyperlink" Target="https://kri-cestuf-p01.ijsselgemeenten.nl:54503/StUF3.DDS.PROD/ServiceOntvangAsynchroon.svc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grij-cognos-p03.ijsselgemeenten.nl/%20%20(172.25.121.101)" TargetMode="External"/><Relationship Id="rId12" Type="http://schemas.openxmlformats.org/officeDocument/2006/relationships/hyperlink" Target="https://grij-eucc-p01.ijsselgemeenten.nl:7443/opentunnel/00000001854442996000/prod/s4sd/djuma/zkn" TargetMode="External"/><Relationship Id="rId17" Type="http://schemas.openxmlformats.org/officeDocument/2006/relationships/hyperlink" Target="http://grij-cemsh-p01.ijsselgemeenten.nl/MessageHandler.svc/xn2" TargetMode="External"/><Relationship Id="rId25" Type="http://schemas.openxmlformats.org/officeDocument/2006/relationships/hyperlink" Target="https://cobxml:54503/StUF3.SBG.PROD/ServiceOntvangAsynchroon.svc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kri-cemsh-p01.ijsselgemeenten.nl/MessageHandler.svc/xn2%20(172.25.200.23)" TargetMode="External"/><Relationship Id="rId16" Type="http://schemas.openxmlformats.org/officeDocument/2006/relationships/hyperlink" Target="http://grij-cegwse-p01.ijsselgemeenten.nl:23094/berichtenverkeercwi/productie/capelle/run/BM_ONTV_S?Webintake-v0400" TargetMode="External"/><Relationship Id="rId20" Type="http://schemas.openxmlformats.org/officeDocument/2006/relationships/hyperlink" Target="https://api.nl.postex.com/soap/v2/generators/2705645100339304508/generate" TargetMode="External"/><Relationship Id="rId29" Type="http://schemas.openxmlformats.org/officeDocument/2006/relationships/hyperlink" Target="https://osb.ijsselgemeenten.nl/opentunnel/00000001854442996000/prod/xxllnc/stuf/vraagantwoord" TargetMode="External"/><Relationship Id="rId1" Type="http://schemas.openxmlformats.org/officeDocument/2006/relationships/hyperlink" Target="http://grij-cemsh-p01.ijsselgemeenten.nl/MessageHandler.svc/xn2%20(172.25.121.117)" TargetMode="External"/><Relationship Id="rId6" Type="http://schemas.openxmlformats.org/officeDocument/2006/relationships/hyperlink" Target="https://https/api.prd.sng.nl/opentunnel/sng/evoi%20via%20http:/GRIJ-CEMSH-P01/MessageHandler.svc/xn2" TargetMode="External"/><Relationship Id="rId11" Type="http://schemas.openxmlformats.org/officeDocument/2006/relationships/hyperlink" Target="https://connect.gemnet.inlichtingenbureau.nl/postkantoor/SOAP/SuwiML%20-verwijsindex%20naar%20https:/broker.prd.suwi.net/suwibroker/soap/" TargetMode="External"/><Relationship Id="rId24" Type="http://schemas.openxmlformats.org/officeDocument/2006/relationships/hyperlink" Target="https://cap-cestuf-p01.ijsselgemeenten.nl:54503/StUF3.DDS.PROD/ServiceOntvangAsynchroon.svc" TargetMode="External"/><Relationship Id="rId32" Type="http://schemas.openxmlformats.org/officeDocument/2006/relationships/hyperlink" Target="https://architectuur-ijsselgemeentennl.msappproxy.net/id-ef288685ca3340b48cab1ac661e9301b/elements/id-fa2981f7ee9d4a0a9ac304413b4aaa4f.html" TargetMode="External"/><Relationship Id="rId5" Type="http://schemas.openxmlformats.org/officeDocument/2006/relationships/hyperlink" Target="http://grij-cemsh-p01.ijsselgemeenten.nl/MessageHandler.svc/xn2%20(172.25.121.117)" TargetMode="External"/><Relationship Id="rId15" Type="http://schemas.openxmlformats.org/officeDocument/2006/relationships/hyperlink" Target="https://grij-eucc-p01.ijsselgemeenten.nl:7443/opentunnel/00000001854442996000/prod/s4sd/wlzregistertoets" TargetMode="External"/><Relationship Id="rId23" Type="http://schemas.openxmlformats.org/officeDocument/2006/relationships/hyperlink" Target="https://kri-cestuf-p01.ijsselgemeenten.nl:54503/StUF3.DDS.PROD/ServiceOntvangAsynchroon.svc" TargetMode="External"/><Relationship Id="rId28" Type="http://schemas.openxmlformats.org/officeDocument/2006/relationships/hyperlink" Target="https://osb.ijsselgemeenten.nl/opentunnel/00000001854442996000/prod/xxllnc/stuf/afnemerindicatie" TargetMode="External"/><Relationship Id="rId10" Type="http://schemas.openxmlformats.org/officeDocument/2006/relationships/hyperlink" Target="http://grij-cemsh-p01.ijsselgemeenten.nl/MessageHandler.svc/xn2" TargetMode="External"/><Relationship Id="rId19" Type="http://schemas.openxmlformats.org/officeDocument/2006/relationships/hyperlink" Target="http://grij-cegwse-p01.ijsselgemeenten.nl:23094/berichtenverkeercwi/productie/capelle/run/BM_ONTV_S?Webintake-v0400" TargetMode="External"/><Relationship Id="rId31" Type="http://schemas.openxmlformats.org/officeDocument/2006/relationships/hyperlink" Target="https://architectuur-ijsselgemeentennl.msappproxy.net/id-ef288685ca3340b48cab1ac661e9301b/elements/id-d6756b4b2cbf4e368bbb2be155571fba.html" TargetMode="External"/><Relationship Id="rId4" Type="http://schemas.openxmlformats.org/officeDocument/2006/relationships/hyperlink" Target="http://kri-cemsh-p01.ijsselgemeenten.nl/MessageHandler.svc/xn2%20(172.25.200.23)" TargetMode="External"/><Relationship Id="rId9" Type="http://schemas.openxmlformats.org/officeDocument/2006/relationships/hyperlink" Target="https://zuidplas.mh.service.centric.eu/MessageHandler.svc/ctt1%20loopt%20via:%20http:/grij-cemsh-p01.ijsselgemeenten.nl/MessageHandler.svc/xn2" TargetMode="External"/><Relationship Id="rId14" Type="http://schemas.openxmlformats.org/officeDocument/2006/relationships/hyperlink" Target="https://grij-eucc-p01.ijsselgemeenten.nl:7443/opentunnel/00000001001877185000/prod/s4sd/naar/ggk" TargetMode="External"/><Relationship Id="rId22" Type="http://schemas.openxmlformats.org/officeDocument/2006/relationships/hyperlink" Target="https://cap-cestuf-p01.ijsselgemeenten.nl:54503/StUF3.DDS.PROD/ServiceOntvangAsynchroon.svc" TargetMode="External"/><Relationship Id="rId27" Type="http://schemas.openxmlformats.org/officeDocument/2006/relationships/hyperlink" Target="https://osb.ijsselgemeenten.nl/opentunnel/00000001854442996000/prod/xxllnc/stuf/vraagantwoord" TargetMode="External"/><Relationship Id="rId30" Type="http://schemas.openxmlformats.org/officeDocument/2006/relationships/hyperlink" Target="file:///./fileserver/MDU/inbox" TargetMode="External"/><Relationship Id="rId8" Type="http://schemas.openxmlformats.org/officeDocument/2006/relationships/hyperlink" Target="https://krimpenaandenijssel.mh.service.centric.eu/MessageHandler.svc/ctt1%20loopt%20via:%20http:/kri-cemsh-p01.ijsselgemeenten.nl/MessageHandler.svc/xn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51B9-CE2C-4753-AE54-887FB7844EBF}">
  <dimension ref="C2:C20"/>
  <sheetViews>
    <sheetView showGridLines="0" workbookViewId="0">
      <selection activeCell="C11" sqref="C11"/>
    </sheetView>
  </sheetViews>
  <sheetFormatPr baseColWidth="10" defaultColWidth="8.83203125" defaultRowHeight="15" x14ac:dyDescent="0.2"/>
  <cols>
    <col min="3" max="3" width="89.5" bestFit="1" customWidth="1"/>
  </cols>
  <sheetData>
    <row r="2" spans="3:3" ht="16" thickBot="1" x14ac:dyDescent="0.25"/>
    <row r="3" spans="3:3" ht="22" thickBot="1" x14ac:dyDescent="0.3">
      <c r="C3" s="6" t="s">
        <v>0</v>
      </c>
    </row>
    <row r="5" spans="3:3" x14ac:dyDescent="0.2">
      <c r="C5" t="s">
        <v>1</v>
      </c>
    </row>
    <row r="6" spans="3:3" x14ac:dyDescent="0.2">
      <c r="C6" t="s">
        <v>2</v>
      </c>
    </row>
    <row r="7" spans="3:3" x14ac:dyDescent="0.2">
      <c r="C7" t="s">
        <v>3</v>
      </c>
    </row>
    <row r="8" spans="3:3" x14ac:dyDescent="0.2">
      <c r="C8" s="4"/>
    </row>
    <row r="9" spans="3:3" x14ac:dyDescent="0.2">
      <c r="C9" s="7" t="s">
        <v>4</v>
      </c>
    </row>
    <row r="10" spans="3:3" x14ac:dyDescent="0.2">
      <c r="C10" s="2" t="s">
        <v>5</v>
      </c>
    </row>
    <row r="11" spans="3:3" x14ac:dyDescent="0.2">
      <c r="C11" s="5" t="str">
        <f ca="1">"Datum laatst bijgewerkt: " &amp; TEXT(TODAY(),"dd-mm-jjjj")</f>
        <v>Datum laatst bijgewerkt: 24-03-2026</v>
      </c>
    </row>
    <row r="12" spans="3:3" x14ac:dyDescent="0.2">
      <c r="C12" s="2" t="s">
        <v>6</v>
      </c>
    </row>
    <row r="13" spans="3:3" x14ac:dyDescent="0.2">
      <c r="C13" s="7" t="s">
        <v>7</v>
      </c>
    </row>
    <row r="20" spans="3:3" x14ac:dyDescent="0.2">
      <c r="C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E4DA-2187-4370-A712-CC935ED479B1}">
  <sheetPr>
    <tabColor rgb="FF00B0F0"/>
  </sheetPr>
  <dimension ref="A1:AM98"/>
  <sheetViews>
    <sheetView showFormulas="1" showGridLines="0" tabSelected="1" zoomScale="85" zoomScaleNormal="25" workbookViewId="0">
      <pane xSplit="4" ySplit="3" topLeftCell="AF4" activePane="bottomRight" state="frozen"/>
      <selection pane="topRight"/>
      <selection pane="bottomLeft" activeCell="Q1" sqref="Q1"/>
      <selection pane="bottomRight" activeCell="B4" sqref="B4"/>
    </sheetView>
  </sheetViews>
  <sheetFormatPr baseColWidth="10" defaultColWidth="8.83203125" defaultRowHeight="15" outlineLevelCol="1" x14ac:dyDescent="0.2"/>
  <cols>
    <col min="1" max="1" width="36.5" style="2" hidden="1" customWidth="1"/>
    <col min="2" max="2" width="3.83203125" style="2" customWidth="1"/>
    <col min="3" max="3" width="47.6640625" style="117" customWidth="1" outlineLevel="1"/>
    <col min="4" max="4" width="50.5" style="117" customWidth="1" outlineLevel="1"/>
    <col min="5" max="5" width="120.33203125" style="117" customWidth="1" outlineLevel="1"/>
    <col min="6" max="6" width="29.83203125" style="117" customWidth="1" outlineLevel="1"/>
    <col min="7" max="7" width="35.6640625" style="117" customWidth="1" outlineLevel="1"/>
    <col min="8" max="8" width="33.5" style="117" customWidth="1" outlineLevel="1"/>
    <col min="9" max="9" width="23.5" style="117" customWidth="1" outlineLevel="1"/>
    <col min="10" max="10" width="36.6640625" style="117" customWidth="1" outlineLevel="1"/>
    <col min="11" max="11" width="57.33203125" style="117" bestFit="1" customWidth="1" outlineLevel="1"/>
    <col min="12" max="12" width="30.5" style="117" customWidth="1" outlineLevel="1"/>
    <col min="13" max="13" width="27" style="117" customWidth="1" outlineLevel="1"/>
    <col min="14" max="14" width="20.83203125" style="117" customWidth="1"/>
    <col min="15" max="15" width="23.33203125" style="117" bestFit="1" customWidth="1"/>
    <col min="16" max="16" width="26.5" style="117" bestFit="1" customWidth="1"/>
    <col min="17" max="17" width="66.5" style="117" bestFit="1" customWidth="1"/>
    <col min="18" max="18" width="88.33203125" style="117" bestFit="1" customWidth="1" collapsed="1"/>
    <col min="19" max="19" width="43" style="117" bestFit="1" customWidth="1"/>
    <col min="20" max="20" width="41.5" style="117" bestFit="1" customWidth="1"/>
    <col min="21" max="21" width="23" style="117" bestFit="1" customWidth="1"/>
    <col min="22" max="22" width="57.83203125" style="117" bestFit="1" customWidth="1"/>
    <col min="23" max="23" width="136.5" style="117" bestFit="1" customWidth="1"/>
    <col min="24" max="24" width="42.5" style="117" bestFit="1" customWidth="1"/>
    <col min="25" max="25" width="40.1640625" style="117" bestFit="1" customWidth="1"/>
    <col min="26" max="26" width="51.83203125" style="117" bestFit="1" customWidth="1"/>
    <col min="27" max="27" width="36.33203125" style="117" bestFit="1" customWidth="1"/>
    <col min="28" max="28" width="34.1640625" style="117" bestFit="1" customWidth="1"/>
    <col min="29" max="30" width="34.1640625" style="117" customWidth="1"/>
    <col min="31" max="31" width="43.33203125" style="117" bestFit="1" customWidth="1"/>
    <col min="32" max="32" width="34.6640625" style="117" bestFit="1" customWidth="1"/>
    <col min="33" max="33" width="37.5" style="117" bestFit="1" customWidth="1"/>
    <col min="34" max="34" width="35" style="117" bestFit="1" customWidth="1"/>
    <col min="35" max="35" width="27.33203125" style="117" bestFit="1" customWidth="1"/>
    <col min="36" max="36" width="33.33203125" style="117" bestFit="1" customWidth="1"/>
    <col min="37" max="37" width="88.33203125" style="117" customWidth="1"/>
    <col min="38" max="39" width="27.1640625" style="117" bestFit="1" customWidth="1"/>
  </cols>
  <sheetData>
    <row r="1" spans="1:39" s="15" customFormat="1" ht="21.75" customHeight="1" x14ac:dyDescent="0.3">
      <c r="A1" s="48" t="s">
        <v>8</v>
      </c>
      <c r="B1" s="84"/>
      <c r="C1" s="153" t="s">
        <v>9</v>
      </c>
      <c r="D1" s="154"/>
      <c r="E1" s="154"/>
      <c r="F1" s="154"/>
      <c r="G1" s="154"/>
      <c r="H1" s="155"/>
      <c r="I1" s="150"/>
      <c r="J1" s="151"/>
      <c r="K1" s="151"/>
      <c r="L1" s="151"/>
      <c r="M1" s="151"/>
      <c r="N1" s="151"/>
      <c r="O1" s="152"/>
      <c r="P1" s="150" t="s">
        <v>10</v>
      </c>
      <c r="Q1" s="152"/>
      <c r="R1" s="153" t="s">
        <v>11</v>
      </c>
      <c r="S1" s="154"/>
      <c r="T1" s="154"/>
      <c r="U1" s="154"/>
      <c r="V1" s="154"/>
      <c r="W1" s="154"/>
      <c r="X1" s="154"/>
      <c r="Y1" s="154"/>
      <c r="Z1" s="155"/>
      <c r="AA1" s="101" t="s">
        <v>12</v>
      </c>
      <c r="AB1" s="102"/>
      <c r="AC1" s="102"/>
      <c r="AD1" s="102"/>
      <c r="AE1" s="103"/>
      <c r="AF1" s="150" t="s">
        <v>13</v>
      </c>
      <c r="AG1" s="151"/>
      <c r="AH1" s="151"/>
      <c r="AI1" s="151"/>
      <c r="AJ1" s="151"/>
      <c r="AK1" s="151"/>
      <c r="AL1" s="152"/>
      <c r="AM1" s="104"/>
    </row>
    <row r="2" spans="1:39" ht="20.25" customHeight="1" x14ac:dyDescent="0.2">
      <c r="A2" s="41" t="s">
        <v>14</v>
      </c>
      <c r="B2" s="85" t="s">
        <v>15</v>
      </c>
      <c r="C2" s="105" t="s">
        <v>16</v>
      </c>
      <c r="D2" s="106" t="s">
        <v>17</v>
      </c>
      <c r="E2" s="106" t="s">
        <v>18</v>
      </c>
      <c r="F2" s="106" t="s">
        <v>19</v>
      </c>
      <c r="G2" s="106" t="s">
        <v>20</v>
      </c>
      <c r="H2" s="107" t="s">
        <v>21</v>
      </c>
      <c r="I2" s="108" t="s">
        <v>22</v>
      </c>
      <c r="J2" s="106" t="s">
        <v>23</v>
      </c>
      <c r="K2" s="109" t="s">
        <v>24</v>
      </c>
      <c r="L2" s="106" t="s">
        <v>25</v>
      </c>
      <c r="M2" s="106" t="s">
        <v>26</v>
      </c>
      <c r="N2" s="106" t="s">
        <v>27</v>
      </c>
      <c r="O2" s="107" t="s">
        <v>28</v>
      </c>
      <c r="P2" s="108" t="s">
        <v>29</v>
      </c>
      <c r="Q2" s="107" t="s">
        <v>30</v>
      </c>
      <c r="R2" s="105" t="s">
        <v>31</v>
      </c>
      <c r="S2" s="106" t="s">
        <v>32</v>
      </c>
      <c r="T2" s="109" t="s">
        <v>33</v>
      </c>
      <c r="U2" s="109" t="s">
        <v>34</v>
      </c>
      <c r="V2" s="106" t="s">
        <v>35</v>
      </c>
      <c r="W2" s="106" t="s">
        <v>36</v>
      </c>
      <c r="X2" s="109" t="s">
        <v>37</v>
      </c>
      <c r="Y2" s="109" t="s">
        <v>38</v>
      </c>
      <c r="Z2" s="110" t="s">
        <v>39</v>
      </c>
      <c r="AA2" s="108" t="s">
        <v>40</v>
      </c>
      <c r="AB2" s="106" t="s">
        <v>41</v>
      </c>
      <c r="AC2" s="111" t="s">
        <v>42</v>
      </c>
      <c r="AD2" s="111" t="s">
        <v>43</v>
      </c>
      <c r="AE2" s="107" t="s">
        <v>44</v>
      </c>
      <c r="AF2" s="105" t="s">
        <v>45</v>
      </c>
      <c r="AG2" s="106" t="s">
        <v>46</v>
      </c>
      <c r="AH2" s="106" t="s">
        <v>47</v>
      </c>
      <c r="AI2" s="106" t="s">
        <v>48</v>
      </c>
      <c r="AJ2" s="106" t="s">
        <v>49</v>
      </c>
      <c r="AK2" s="106" t="s">
        <v>50</v>
      </c>
      <c r="AL2" s="112" t="s">
        <v>51</v>
      </c>
      <c r="AM2" s="113" t="s">
        <v>52</v>
      </c>
    </row>
    <row r="3" spans="1:39" s="1" customFormat="1" ht="60" hidden="1" x14ac:dyDescent="0.2">
      <c r="A3" s="43" t="s">
        <v>53</v>
      </c>
      <c r="B3" s="86"/>
      <c r="C3" s="44" t="s">
        <v>54</v>
      </c>
      <c r="D3" s="45" t="s">
        <v>55</v>
      </c>
      <c r="E3" s="45" t="s">
        <v>56</v>
      </c>
      <c r="F3" s="45" t="s">
        <v>57</v>
      </c>
      <c r="G3" s="45" t="s">
        <v>58</v>
      </c>
      <c r="H3" s="46" t="s">
        <v>59</v>
      </c>
      <c r="I3" s="47" t="s">
        <v>60</v>
      </c>
      <c r="J3" s="45" t="s">
        <v>61</v>
      </c>
      <c r="K3" s="45" t="s">
        <v>62</v>
      </c>
      <c r="L3" s="45" t="s">
        <v>63</v>
      </c>
      <c r="M3" s="45" t="s">
        <v>64</v>
      </c>
      <c r="N3" s="45" t="s">
        <v>65</v>
      </c>
      <c r="O3" s="46" t="s">
        <v>66</v>
      </c>
      <c r="P3" s="47" t="s">
        <v>67</v>
      </c>
      <c r="Q3" s="46" t="s">
        <v>68</v>
      </c>
      <c r="R3" s="47" t="s">
        <v>69</v>
      </c>
      <c r="S3" s="59" t="s">
        <v>70</v>
      </c>
      <c r="T3" s="45" t="s">
        <v>71</v>
      </c>
      <c r="U3" s="45" t="s">
        <v>72</v>
      </c>
      <c r="V3" s="45" t="s">
        <v>73</v>
      </c>
      <c r="W3" s="45"/>
      <c r="X3" s="45" t="s">
        <v>74</v>
      </c>
      <c r="Y3" s="45" t="s">
        <v>75</v>
      </c>
      <c r="Z3" s="46" t="s">
        <v>76</v>
      </c>
      <c r="AA3" s="47" t="s">
        <v>77</v>
      </c>
      <c r="AB3" s="45" t="s">
        <v>78</v>
      </c>
      <c r="AC3" s="49" t="s">
        <v>79</v>
      </c>
      <c r="AD3" s="49" t="s">
        <v>80</v>
      </c>
      <c r="AE3" s="46" t="s">
        <v>81</v>
      </c>
      <c r="AF3" s="47" t="s">
        <v>82</v>
      </c>
      <c r="AG3" s="59" t="s">
        <v>83</v>
      </c>
      <c r="AH3" s="45" t="s">
        <v>84</v>
      </c>
      <c r="AI3" s="45" t="s">
        <v>85</v>
      </c>
      <c r="AJ3" s="45" t="s">
        <v>86</v>
      </c>
      <c r="AK3" s="45" t="s">
        <v>87</v>
      </c>
      <c r="AL3" s="46" t="s">
        <v>88</v>
      </c>
      <c r="AM3" s="27" t="s">
        <v>88</v>
      </c>
    </row>
    <row r="4" spans="1:39" ht="32" x14ac:dyDescent="0.2">
      <c r="C4" s="80" t="s">
        <v>89</v>
      </c>
      <c r="D4" s="54" t="s">
        <v>90</v>
      </c>
      <c r="E4" s="54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68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54" t="s">
        <v>104</v>
      </c>
      <c r="T4" s="3" t="s">
        <v>105</v>
      </c>
      <c r="U4" s="3" t="s">
        <v>106</v>
      </c>
      <c r="V4" s="3" t="s">
        <v>107</v>
      </c>
      <c r="W4" s="79" t="s">
        <v>108</v>
      </c>
      <c r="X4" s="3" t="s">
        <v>109</v>
      </c>
      <c r="Y4" s="3" t="s">
        <v>110</v>
      </c>
      <c r="Z4" s="54" t="s">
        <v>111</v>
      </c>
      <c r="AA4" s="3" t="s">
        <v>112</v>
      </c>
      <c r="AB4" s="3" t="s">
        <v>113</v>
      </c>
      <c r="AC4" s="3" t="s">
        <v>114</v>
      </c>
      <c r="AD4" s="3" t="s">
        <v>115</v>
      </c>
      <c r="AE4" s="54" t="s">
        <v>116</v>
      </c>
      <c r="AF4" s="54" t="s">
        <v>117</v>
      </c>
      <c r="AG4" s="3" t="s">
        <v>118</v>
      </c>
      <c r="AH4" s="54" t="s">
        <v>119</v>
      </c>
      <c r="AI4" s="54" t="s">
        <v>120</v>
      </c>
      <c r="AJ4" s="3" t="s">
        <v>121</v>
      </c>
      <c r="AK4" s="57" t="s">
        <v>122</v>
      </c>
      <c r="AL4" s="3" t="s">
        <v>123</v>
      </c>
      <c r="AM4" s="58" t="s">
        <v>124</v>
      </c>
    </row>
    <row r="5" spans="1:39" x14ac:dyDescent="0.2">
      <c r="C5" s="80" t="s">
        <v>125</v>
      </c>
      <c r="D5" s="54" t="s">
        <v>126</v>
      </c>
      <c r="E5" s="54" t="s">
        <v>127</v>
      </c>
      <c r="F5" s="3" t="s">
        <v>92</v>
      </c>
      <c r="G5" s="3" t="s">
        <v>93</v>
      </c>
      <c r="H5" s="3" t="s">
        <v>94</v>
      </c>
      <c r="I5" s="3" t="s">
        <v>101</v>
      </c>
      <c r="J5" s="3" t="s">
        <v>102</v>
      </c>
      <c r="K5" s="54" t="s">
        <v>96</v>
      </c>
      <c r="L5" s="54" t="s">
        <v>97</v>
      </c>
      <c r="M5" s="54" t="s">
        <v>98</v>
      </c>
      <c r="N5" s="54" t="s">
        <v>99</v>
      </c>
      <c r="O5" s="54">
        <v>0</v>
      </c>
      <c r="P5" s="3" t="s">
        <v>95</v>
      </c>
      <c r="Q5" s="54" t="s">
        <v>128</v>
      </c>
      <c r="R5" s="54" t="s">
        <v>103</v>
      </c>
      <c r="S5" s="54" t="s">
        <v>104</v>
      </c>
      <c r="T5" s="3" t="s">
        <v>105</v>
      </c>
      <c r="U5" s="3" t="s">
        <v>106</v>
      </c>
      <c r="V5" s="3" t="s">
        <v>107</v>
      </c>
      <c r="W5" s="79" t="s">
        <v>129</v>
      </c>
      <c r="X5" s="3" t="s">
        <v>109</v>
      </c>
      <c r="Y5" s="3" t="s">
        <v>110</v>
      </c>
      <c r="Z5" s="54" t="s">
        <v>130</v>
      </c>
      <c r="AA5" s="3" t="s">
        <v>112</v>
      </c>
      <c r="AB5" s="3" t="s">
        <v>113</v>
      </c>
      <c r="AC5" s="3" t="s">
        <v>114</v>
      </c>
      <c r="AD5" s="3" t="s">
        <v>115</v>
      </c>
      <c r="AE5" s="54" t="s">
        <v>116</v>
      </c>
      <c r="AF5" s="54" t="s">
        <v>117</v>
      </c>
      <c r="AG5" s="3" t="s">
        <v>118</v>
      </c>
      <c r="AH5" s="54" t="s">
        <v>119</v>
      </c>
      <c r="AI5" s="54" t="s">
        <v>131</v>
      </c>
      <c r="AJ5" s="3" t="s">
        <v>121</v>
      </c>
      <c r="AK5" s="3"/>
      <c r="AL5" s="3"/>
      <c r="AM5" s="42"/>
    </row>
    <row r="6" spans="1:39" x14ac:dyDescent="0.2">
      <c r="C6" s="80" t="s">
        <v>132</v>
      </c>
      <c r="D6" s="54" t="s">
        <v>133</v>
      </c>
      <c r="E6" s="54" t="s">
        <v>134</v>
      </c>
      <c r="F6" s="3" t="s">
        <v>135</v>
      </c>
      <c r="G6" s="3" t="s">
        <v>93</v>
      </c>
      <c r="H6" s="3" t="s">
        <v>94</v>
      </c>
      <c r="I6" s="3" t="s">
        <v>95</v>
      </c>
      <c r="J6" s="3" t="s">
        <v>68</v>
      </c>
      <c r="K6" s="54" t="s">
        <v>136</v>
      </c>
      <c r="L6" s="54" t="s">
        <v>137</v>
      </c>
      <c r="M6" s="54" t="s">
        <v>98</v>
      </c>
      <c r="N6" s="54" t="s">
        <v>99</v>
      </c>
      <c r="O6" s="56" t="s">
        <v>138</v>
      </c>
      <c r="P6" s="55" t="s">
        <v>139</v>
      </c>
      <c r="Q6" s="54" t="s">
        <v>140</v>
      </c>
      <c r="R6" s="54" t="s">
        <v>141</v>
      </c>
      <c r="S6" s="54" t="s">
        <v>142</v>
      </c>
      <c r="T6" s="3" t="s">
        <v>105</v>
      </c>
      <c r="U6" s="3" t="s">
        <v>106</v>
      </c>
      <c r="V6" s="3" t="s">
        <v>107</v>
      </c>
      <c r="W6" s="79" t="s">
        <v>143</v>
      </c>
      <c r="X6" s="3" t="s">
        <v>109</v>
      </c>
      <c r="Y6" s="3" t="s">
        <v>110</v>
      </c>
      <c r="Z6" s="54" t="s">
        <v>111</v>
      </c>
      <c r="AA6" s="3" t="s">
        <v>144</v>
      </c>
      <c r="AB6" s="3" t="s">
        <v>113</v>
      </c>
      <c r="AC6" s="3" t="s">
        <v>114</v>
      </c>
      <c r="AD6" s="3" t="s">
        <v>115</v>
      </c>
      <c r="AE6" s="54" t="s">
        <v>116</v>
      </c>
      <c r="AF6" s="54" t="s">
        <v>117</v>
      </c>
      <c r="AG6" s="3" t="s">
        <v>118</v>
      </c>
      <c r="AH6" s="54" t="s">
        <v>119</v>
      </c>
      <c r="AI6" s="54" t="s">
        <v>145</v>
      </c>
      <c r="AJ6" s="3" t="s">
        <v>121</v>
      </c>
      <c r="AK6" s="3"/>
      <c r="AL6" s="3"/>
      <c r="AM6" s="42"/>
    </row>
    <row r="7" spans="1:39" x14ac:dyDescent="0.2">
      <c r="C7" s="80" t="s">
        <v>146</v>
      </c>
      <c r="D7" s="54" t="s">
        <v>147</v>
      </c>
      <c r="E7" s="54" t="s">
        <v>134</v>
      </c>
      <c r="F7" s="3" t="s">
        <v>148</v>
      </c>
      <c r="G7" s="3" t="s">
        <v>93</v>
      </c>
      <c r="H7" s="3" t="s">
        <v>94</v>
      </c>
      <c r="I7" s="3" t="s">
        <v>95</v>
      </c>
      <c r="J7" s="3" t="s">
        <v>68</v>
      </c>
      <c r="K7" s="54" t="s">
        <v>136</v>
      </c>
      <c r="L7" s="54" t="s">
        <v>137</v>
      </c>
      <c r="M7" s="54" t="s">
        <v>98</v>
      </c>
      <c r="N7" s="54" t="s">
        <v>99</v>
      </c>
      <c r="O7" s="56" t="s">
        <v>149</v>
      </c>
      <c r="P7" s="55" t="s">
        <v>139</v>
      </c>
      <c r="Q7" s="54" t="s">
        <v>140</v>
      </c>
      <c r="R7" s="54" t="s">
        <v>141</v>
      </c>
      <c r="S7" s="54" t="s">
        <v>142</v>
      </c>
      <c r="T7" s="3" t="s">
        <v>105</v>
      </c>
      <c r="U7" s="3" t="s">
        <v>106</v>
      </c>
      <c r="V7" s="3" t="s">
        <v>107</v>
      </c>
      <c r="W7" s="79" t="s">
        <v>150</v>
      </c>
      <c r="X7" s="3" t="s">
        <v>109</v>
      </c>
      <c r="Y7" s="3" t="s">
        <v>110</v>
      </c>
      <c r="Z7" s="54" t="s">
        <v>111</v>
      </c>
      <c r="AA7" s="3" t="s">
        <v>144</v>
      </c>
      <c r="AB7" s="3" t="s">
        <v>113</v>
      </c>
      <c r="AC7" s="3" t="s">
        <v>114</v>
      </c>
      <c r="AD7" s="3" t="s">
        <v>115</v>
      </c>
      <c r="AE7" s="54" t="s">
        <v>116</v>
      </c>
      <c r="AF7" s="54" t="s">
        <v>117</v>
      </c>
      <c r="AG7" s="3" t="s">
        <v>118</v>
      </c>
      <c r="AH7" s="54" t="s">
        <v>119</v>
      </c>
      <c r="AI7" s="54" t="s">
        <v>145</v>
      </c>
      <c r="AJ7" s="3" t="s">
        <v>121</v>
      </c>
      <c r="AK7" s="3"/>
      <c r="AL7" s="3"/>
      <c r="AM7" s="42"/>
    </row>
    <row r="8" spans="1:39" x14ac:dyDescent="0.2">
      <c r="C8" s="80" t="s">
        <v>151</v>
      </c>
      <c r="D8" s="140" t="s">
        <v>152</v>
      </c>
      <c r="E8" s="54" t="s">
        <v>153</v>
      </c>
      <c r="F8" s="3" t="s">
        <v>135</v>
      </c>
      <c r="G8" s="3" t="s">
        <v>93</v>
      </c>
      <c r="H8" s="3" t="s">
        <v>94</v>
      </c>
      <c r="I8" s="3" t="s">
        <v>139</v>
      </c>
      <c r="J8" s="3" t="s">
        <v>140</v>
      </c>
      <c r="K8" s="54" t="s">
        <v>136</v>
      </c>
      <c r="L8" s="54" t="s">
        <v>137</v>
      </c>
      <c r="M8" s="54" t="s">
        <v>98</v>
      </c>
      <c r="N8" s="54" t="s">
        <v>99</v>
      </c>
      <c r="O8" s="56" t="s">
        <v>154</v>
      </c>
      <c r="P8" s="3" t="s">
        <v>95</v>
      </c>
      <c r="Q8" s="54" t="s">
        <v>68</v>
      </c>
      <c r="R8" s="54" t="s">
        <v>141</v>
      </c>
      <c r="S8" s="54" t="s">
        <v>98</v>
      </c>
      <c r="T8" s="3" t="s">
        <v>105</v>
      </c>
      <c r="U8" s="3" t="s">
        <v>106</v>
      </c>
      <c r="V8" s="3" t="s">
        <v>107</v>
      </c>
      <c r="W8" s="79" t="s">
        <v>129</v>
      </c>
      <c r="X8" s="3" t="s">
        <v>109</v>
      </c>
      <c r="Y8" s="3" t="s">
        <v>110</v>
      </c>
      <c r="Z8" s="54" t="s">
        <v>130</v>
      </c>
      <c r="AA8" s="3" t="s">
        <v>144</v>
      </c>
      <c r="AB8" s="3" t="s">
        <v>113</v>
      </c>
      <c r="AC8" s="3" t="s">
        <v>114</v>
      </c>
      <c r="AD8" s="3" t="s">
        <v>115</v>
      </c>
      <c r="AE8" s="54" t="s">
        <v>116</v>
      </c>
      <c r="AF8" s="54" t="s">
        <v>117</v>
      </c>
      <c r="AG8" s="3" t="s">
        <v>118</v>
      </c>
      <c r="AH8" s="54" t="s">
        <v>119</v>
      </c>
      <c r="AI8" s="54" t="s">
        <v>145</v>
      </c>
      <c r="AJ8" s="3" t="s">
        <v>121</v>
      </c>
      <c r="AK8" s="3"/>
      <c r="AL8" s="3"/>
      <c r="AM8" s="42"/>
    </row>
    <row r="9" spans="1:39" x14ac:dyDescent="0.2">
      <c r="C9" s="80" t="s">
        <v>155</v>
      </c>
      <c r="D9" s="140" t="s">
        <v>156</v>
      </c>
      <c r="E9" s="54" t="s">
        <v>153</v>
      </c>
      <c r="F9" s="3" t="s">
        <v>148</v>
      </c>
      <c r="G9" s="3" t="s">
        <v>93</v>
      </c>
      <c r="H9" s="3" t="s">
        <v>94</v>
      </c>
      <c r="I9" s="3" t="s">
        <v>139</v>
      </c>
      <c r="J9" s="3" t="s">
        <v>140</v>
      </c>
      <c r="K9" s="54" t="s">
        <v>136</v>
      </c>
      <c r="L9" s="54" t="s">
        <v>137</v>
      </c>
      <c r="M9" s="54" t="s">
        <v>98</v>
      </c>
      <c r="N9" s="54" t="s">
        <v>99</v>
      </c>
      <c r="O9" s="56" t="s">
        <v>157</v>
      </c>
      <c r="P9" s="3" t="s">
        <v>95</v>
      </c>
      <c r="Q9" s="54" t="s">
        <v>68</v>
      </c>
      <c r="R9" s="54" t="s">
        <v>141</v>
      </c>
      <c r="S9" s="54" t="s">
        <v>98</v>
      </c>
      <c r="T9" s="3" t="s">
        <v>105</v>
      </c>
      <c r="U9" s="3" t="s">
        <v>106</v>
      </c>
      <c r="V9" s="3" t="s">
        <v>107</v>
      </c>
      <c r="W9" s="79" t="s">
        <v>158</v>
      </c>
      <c r="X9" s="3" t="s">
        <v>109</v>
      </c>
      <c r="Y9" s="3" t="s">
        <v>110</v>
      </c>
      <c r="Z9" s="54" t="s">
        <v>130</v>
      </c>
      <c r="AA9" s="3" t="s">
        <v>144</v>
      </c>
      <c r="AB9" s="3" t="s">
        <v>113</v>
      </c>
      <c r="AC9" s="3" t="s">
        <v>114</v>
      </c>
      <c r="AD9" s="3" t="s">
        <v>115</v>
      </c>
      <c r="AE9" s="54" t="s">
        <v>116</v>
      </c>
      <c r="AF9" s="54" t="s">
        <v>117</v>
      </c>
      <c r="AG9" s="3" t="s">
        <v>118</v>
      </c>
      <c r="AH9" s="54" t="s">
        <v>119</v>
      </c>
      <c r="AI9" s="54" t="s">
        <v>145</v>
      </c>
      <c r="AJ9" s="3" t="s">
        <v>121</v>
      </c>
      <c r="AK9" s="3"/>
      <c r="AL9" s="3"/>
      <c r="AM9" s="42"/>
    </row>
    <row r="10" spans="1:39" x14ac:dyDescent="0.2">
      <c r="C10" s="88" t="s">
        <v>159</v>
      </c>
      <c r="D10" s="140" t="s">
        <v>160</v>
      </c>
      <c r="E10" s="54" t="s">
        <v>161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68</v>
      </c>
      <c r="K10" s="54" t="s">
        <v>162</v>
      </c>
      <c r="L10" s="54" t="s">
        <v>163</v>
      </c>
      <c r="M10" s="54" t="s">
        <v>98</v>
      </c>
      <c r="N10" s="54" t="s">
        <v>99</v>
      </c>
      <c r="O10" s="56" t="s">
        <v>164</v>
      </c>
      <c r="P10" s="54" t="s">
        <v>165</v>
      </c>
      <c r="Q10" s="54" t="s">
        <v>140</v>
      </c>
      <c r="R10" s="54" t="s">
        <v>166</v>
      </c>
      <c r="S10" s="56" t="s">
        <v>167</v>
      </c>
      <c r="T10" s="3" t="s">
        <v>105</v>
      </c>
      <c r="U10" s="3" t="s">
        <v>168</v>
      </c>
      <c r="V10" s="3" t="s">
        <v>107</v>
      </c>
      <c r="W10" s="79" t="s">
        <v>169</v>
      </c>
      <c r="X10" s="3" t="s">
        <v>109</v>
      </c>
      <c r="Y10" s="3" t="s">
        <v>110</v>
      </c>
      <c r="Z10" s="54" t="s">
        <v>111</v>
      </c>
      <c r="AA10" s="3" t="s">
        <v>170</v>
      </c>
      <c r="AB10" s="3" t="s">
        <v>113</v>
      </c>
      <c r="AC10" s="3" t="s">
        <v>114</v>
      </c>
      <c r="AD10" s="3" t="s">
        <v>115</v>
      </c>
      <c r="AE10" s="54" t="s">
        <v>116</v>
      </c>
      <c r="AF10" s="54" t="s">
        <v>117</v>
      </c>
      <c r="AG10" s="3" t="s">
        <v>118</v>
      </c>
      <c r="AH10" s="54" t="s">
        <v>119</v>
      </c>
      <c r="AI10" s="3"/>
      <c r="AJ10" s="3" t="s">
        <v>121</v>
      </c>
      <c r="AK10" s="3"/>
      <c r="AL10" s="3"/>
      <c r="AM10" s="42"/>
    </row>
    <row r="11" spans="1:39" hidden="1" x14ac:dyDescent="0.2">
      <c r="C11" s="80" t="s">
        <v>171</v>
      </c>
      <c r="D11" s="141" t="s">
        <v>172</v>
      </c>
      <c r="E11" s="61" t="s">
        <v>173</v>
      </c>
      <c r="F11" s="62" t="s">
        <v>135</v>
      </c>
      <c r="G11" s="3" t="s">
        <v>93</v>
      </c>
      <c r="H11" s="3" t="s">
        <v>94</v>
      </c>
      <c r="I11" s="3" t="s">
        <v>95</v>
      </c>
      <c r="J11" s="3" t="s">
        <v>68</v>
      </c>
      <c r="K11" s="3" t="s">
        <v>112</v>
      </c>
      <c r="L11" s="3" t="s">
        <v>174</v>
      </c>
      <c r="M11" s="3" t="s">
        <v>175</v>
      </c>
      <c r="N11" s="3" t="s">
        <v>99</v>
      </c>
      <c r="O11" s="71" t="s">
        <v>176</v>
      </c>
      <c r="P11" s="3" t="s">
        <v>177</v>
      </c>
      <c r="Q11" s="3" t="s">
        <v>68</v>
      </c>
      <c r="R11" s="3" t="s">
        <v>178</v>
      </c>
      <c r="S11" s="3" t="s">
        <v>179</v>
      </c>
      <c r="T11" s="3" t="s">
        <v>180</v>
      </c>
      <c r="U11" s="3" t="s">
        <v>168</v>
      </c>
      <c r="V11" s="3" t="s">
        <v>107</v>
      </c>
      <c r="W11" s="3" t="s">
        <v>181</v>
      </c>
      <c r="X11" s="3" t="s">
        <v>109</v>
      </c>
      <c r="Y11" s="3" t="s">
        <v>182</v>
      </c>
      <c r="Z11" s="3" t="s">
        <v>183</v>
      </c>
      <c r="AA11" s="3" t="s">
        <v>112</v>
      </c>
      <c r="AB11" s="3" t="s">
        <v>184</v>
      </c>
      <c r="AC11" s="3" t="s">
        <v>185</v>
      </c>
      <c r="AD11" s="3" t="s">
        <v>186</v>
      </c>
      <c r="AE11" s="71" t="s">
        <v>167</v>
      </c>
      <c r="AF11" s="3" t="s">
        <v>187</v>
      </c>
      <c r="AG11" s="3" t="s">
        <v>118</v>
      </c>
      <c r="AH11" s="3" t="s">
        <v>188</v>
      </c>
      <c r="AI11" s="3" t="s">
        <v>189</v>
      </c>
      <c r="AJ11" s="71" t="s">
        <v>167</v>
      </c>
      <c r="AK11" s="3"/>
      <c r="AL11" s="3"/>
      <c r="AM11" s="42"/>
    </row>
    <row r="12" spans="1:39" hidden="1" x14ac:dyDescent="0.2">
      <c r="C12" s="80" t="s">
        <v>190</v>
      </c>
      <c r="D12" s="54" t="s">
        <v>191</v>
      </c>
      <c r="E12" s="54" t="s">
        <v>173</v>
      </c>
      <c r="F12" s="54" t="s">
        <v>148</v>
      </c>
      <c r="G12" s="3" t="s">
        <v>93</v>
      </c>
      <c r="H12" s="3" t="s">
        <v>94</v>
      </c>
      <c r="I12" s="3" t="s">
        <v>95</v>
      </c>
      <c r="J12" s="3" t="s">
        <v>68</v>
      </c>
      <c r="K12" s="3" t="s">
        <v>112</v>
      </c>
      <c r="L12" s="3" t="s">
        <v>174</v>
      </c>
      <c r="M12" s="3" t="s">
        <v>175</v>
      </c>
      <c r="N12" s="3" t="s">
        <v>99</v>
      </c>
      <c r="O12" s="71" t="s">
        <v>192</v>
      </c>
      <c r="P12" s="3" t="s">
        <v>193</v>
      </c>
      <c r="Q12" s="3" t="s">
        <v>68</v>
      </c>
      <c r="R12" s="3" t="s">
        <v>178</v>
      </c>
      <c r="S12" s="3" t="s">
        <v>179</v>
      </c>
      <c r="T12" s="3" t="s">
        <v>180</v>
      </c>
      <c r="U12" s="3" t="s">
        <v>168</v>
      </c>
      <c r="V12" s="3" t="s">
        <v>107</v>
      </c>
      <c r="W12" s="3" t="s">
        <v>194</v>
      </c>
      <c r="X12" s="3" t="s">
        <v>109</v>
      </c>
      <c r="Y12" s="3" t="s">
        <v>182</v>
      </c>
      <c r="Z12" s="3" t="s">
        <v>183</v>
      </c>
      <c r="AA12" s="3" t="s">
        <v>112</v>
      </c>
      <c r="AB12" s="3" t="s">
        <v>184</v>
      </c>
      <c r="AC12" s="3" t="s">
        <v>185</v>
      </c>
      <c r="AD12" s="3" t="s">
        <v>186</v>
      </c>
      <c r="AE12" s="71" t="s">
        <v>167</v>
      </c>
      <c r="AF12" s="3" t="s">
        <v>187</v>
      </c>
      <c r="AG12" s="3" t="s">
        <v>118</v>
      </c>
      <c r="AH12" s="3" t="s">
        <v>188</v>
      </c>
      <c r="AI12" s="3" t="s">
        <v>189</v>
      </c>
      <c r="AJ12" s="71" t="s">
        <v>167</v>
      </c>
      <c r="AK12" s="3"/>
      <c r="AL12" s="3"/>
      <c r="AM12" s="42"/>
    </row>
    <row r="13" spans="1:39" x14ac:dyDescent="0.2">
      <c r="C13" s="80" t="s">
        <v>195</v>
      </c>
      <c r="D13" s="63" t="s">
        <v>196</v>
      </c>
      <c r="E13" s="64" t="s">
        <v>173</v>
      </c>
      <c r="F13" s="65" t="s">
        <v>197</v>
      </c>
      <c r="G13" s="3" t="s">
        <v>93</v>
      </c>
      <c r="H13" s="3" t="s">
        <v>94</v>
      </c>
      <c r="I13" s="3" t="s">
        <v>95</v>
      </c>
      <c r="J13" s="3" t="s">
        <v>68</v>
      </c>
      <c r="K13" s="3" t="s">
        <v>112</v>
      </c>
      <c r="L13" s="3" t="s">
        <v>174</v>
      </c>
      <c r="M13" s="3" t="s">
        <v>175</v>
      </c>
      <c r="N13" s="66" t="s">
        <v>99</v>
      </c>
      <c r="O13" s="71" t="s">
        <v>192</v>
      </c>
      <c r="P13" s="67" t="s">
        <v>198</v>
      </c>
      <c r="Q13" s="68" t="s">
        <v>68</v>
      </c>
      <c r="R13" s="3" t="s">
        <v>178</v>
      </c>
      <c r="S13" s="3" t="s">
        <v>179</v>
      </c>
      <c r="T13" s="67" t="s">
        <v>105</v>
      </c>
      <c r="U13" s="67" t="s">
        <v>168</v>
      </c>
      <c r="V13" s="3" t="s">
        <v>107</v>
      </c>
      <c r="W13" s="3" t="s">
        <v>199</v>
      </c>
      <c r="X13" s="3" t="s">
        <v>109</v>
      </c>
      <c r="Y13" s="67" t="s">
        <v>110</v>
      </c>
      <c r="Z13" s="69" t="s">
        <v>200</v>
      </c>
      <c r="AA13" s="67" t="s">
        <v>112</v>
      </c>
      <c r="AB13" s="67" t="s">
        <v>201</v>
      </c>
      <c r="AC13" s="3" t="s">
        <v>114</v>
      </c>
      <c r="AD13" s="3" t="s">
        <v>115</v>
      </c>
      <c r="AE13" s="54" t="s">
        <v>116</v>
      </c>
      <c r="AF13" s="70" t="s">
        <v>202</v>
      </c>
      <c r="AG13" s="3" t="s">
        <v>118</v>
      </c>
      <c r="AH13" s="3" t="s">
        <v>188</v>
      </c>
      <c r="AI13" s="67"/>
      <c r="AJ13" s="72" t="s">
        <v>167</v>
      </c>
      <c r="AK13" s="68"/>
      <c r="AL13" s="3"/>
      <c r="AM13" s="42"/>
    </row>
    <row r="14" spans="1:39" ht="32" hidden="1" x14ac:dyDescent="0.2">
      <c r="C14" s="80" t="s">
        <v>203</v>
      </c>
      <c r="D14" s="60" t="s">
        <v>204</v>
      </c>
      <c r="E14" s="61" t="s">
        <v>205</v>
      </c>
      <c r="F14" s="62" t="s">
        <v>135</v>
      </c>
      <c r="G14" s="3" t="s">
        <v>93</v>
      </c>
      <c r="H14" s="3" t="s">
        <v>94</v>
      </c>
      <c r="I14" s="3" t="s">
        <v>177</v>
      </c>
      <c r="J14" s="3" t="s">
        <v>68</v>
      </c>
      <c r="K14" s="3" t="s">
        <v>112</v>
      </c>
      <c r="L14" s="3" t="s">
        <v>174</v>
      </c>
      <c r="M14" s="3" t="s">
        <v>175</v>
      </c>
      <c r="N14" s="3" t="s">
        <v>206</v>
      </c>
      <c r="O14" s="71" t="s">
        <v>207</v>
      </c>
      <c r="P14" s="3" t="s">
        <v>95</v>
      </c>
      <c r="Q14" s="3" t="s">
        <v>68</v>
      </c>
      <c r="R14" s="3" t="s">
        <v>208</v>
      </c>
      <c r="S14" s="71" t="s">
        <v>167</v>
      </c>
      <c r="T14" s="3" t="s">
        <v>209</v>
      </c>
      <c r="U14" s="3" t="s">
        <v>168</v>
      </c>
      <c r="V14" s="3" t="s">
        <v>107</v>
      </c>
      <c r="W14" s="79" t="s">
        <v>129</v>
      </c>
      <c r="X14" s="3" t="s">
        <v>109</v>
      </c>
      <c r="Y14" s="3" t="s">
        <v>182</v>
      </c>
      <c r="Z14" s="3" t="s">
        <v>210</v>
      </c>
      <c r="AA14" s="3" t="s">
        <v>112</v>
      </c>
      <c r="AB14" s="3" t="s">
        <v>184</v>
      </c>
      <c r="AC14" s="3" t="s">
        <v>185</v>
      </c>
      <c r="AD14" s="3" t="s">
        <v>186</v>
      </c>
      <c r="AE14" s="71" t="s">
        <v>167</v>
      </c>
      <c r="AF14" s="3" t="s">
        <v>187</v>
      </c>
      <c r="AG14" s="3" t="s">
        <v>118</v>
      </c>
      <c r="AH14" s="3" t="s">
        <v>188</v>
      </c>
      <c r="AI14" s="3" t="s">
        <v>189</v>
      </c>
      <c r="AJ14" s="71" t="s">
        <v>167</v>
      </c>
      <c r="AK14" s="73" t="s">
        <v>211</v>
      </c>
      <c r="AL14" s="3"/>
      <c r="AM14" s="42"/>
    </row>
    <row r="15" spans="1:39" hidden="1" x14ac:dyDescent="0.2">
      <c r="C15" s="80" t="s">
        <v>212</v>
      </c>
      <c r="D15" s="54" t="s">
        <v>213</v>
      </c>
      <c r="E15" s="54" t="s">
        <v>205</v>
      </c>
      <c r="F15" s="54" t="s">
        <v>148</v>
      </c>
      <c r="G15" s="3" t="s">
        <v>93</v>
      </c>
      <c r="H15" s="3" t="s">
        <v>94</v>
      </c>
      <c r="I15" s="3" t="s">
        <v>193</v>
      </c>
      <c r="J15" s="3" t="s">
        <v>68</v>
      </c>
      <c r="K15" s="3" t="s">
        <v>112</v>
      </c>
      <c r="L15" s="3" t="s">
        <v>174</v>
      </c>
      <c r="M15" s="3" t="s">
        <v>175</v>
      </c>
      <c r="N15" s="3" t="s">
        <v>206</v>
      </c>
      <c r="O15" s="71" t="s">
        <v>192</v>
      </c>
      <c r="P15" s="3" t="s">
        <v>95</v>
      </c>
      <c r="Q15" s="3" t="s">
        <v>68</v>
      </c>
      <c r="R15" s="3" t="s">
        <v>208</v>
      </c>
      <c r="S15" s="71" t="s">
        <v>167</v>
      </c>
      <c r="T15" s="3" t="s">
        <v>209</v>
      </c>
      <c r="U15" s="3" t="s">
        <v>168</v>
      </c>
      <c r="V15" s="3" t="s">
        <v>107</v>
      </c>
      <c r="W15" s="79" t="s">
        <v>158</v>
      </c>
      <c r="X15" s="3" t="s">
        <v>109</v>
      </c>
      <c r="Y15" s="3" t="s">
        <v>182</v>
      </c>
      <c r="Z15" s="3" t="s">
        <v>210</v>
      </c>
      <c r="AA15" s="3" t="s">
        <v>112</v>
      </c>
      <c r="AB15" s="3" t="s">
        <v>184</v>
      </c>
      <c r="AC15" s="3" t="s">
        <v>185</v>
      </c>
      <c r="AD15" s="3" t="s">
        <v>186</v>
      </c>
      <c r="AE15" s="71" t="s">
        <v>167</v>
      </c>
      <c r="AF15" s="3" t="s">
        <v>187</v>
      </c>
      <c r="AG15" s="3" t="s">
        <v>118</v>
      </c>
      <c r="AH15" s="3" t="s">
        <v>188</v>
      </c>
      <c r="AI15" s="3" t="s">
        <v>189</v>
      </c>
      <c r="AJ15" s="71" t="s">
        <v>167</v>
      </c>
      <c r="AK15" s="3"/>
      <c r="AL15" s="3"/>
      <c r="AM15" s="42"/>
    </row>
    <row r="16" spans="1:39" x14ac:dyDescent="0.2">
      <c r="B16" s="2" t="s">
        <v>214</v>
      </c>
      <c r="C16" s="3" t="s">
        <v>215</v>
      </c>
      <c r="D16" s="3" t="s">
        <v>216</v>
      </c>
      <c r="E16" s="3" t="s">
        <v>205</v>
      </c>
      <c r="F16" s="3" t="s">
        <v>197</v>
      </c>
      <c r="G16" s="3" t="s">
        <v>93</v>
      </c>
      <c r="H16" s="3" t="s">
        <v>94</v>
      </c>
      <c r="I16" s="3" t="s">
        <v>198</v>
      </c>
      <c r="J16" s="3" t="s">
        <v>68</v>
      </c>
      <c r="K16" s="3" t="s">
        <v>112</v>
      </c>
      <c r="L16" s="3" t="s">
        <v>174</v>
      </c>
      <c r="M16" s="3" t="s">
        <v>175</v>
      </c>
      <c r="N16" s="3" t="s">
        <v>206</v>
      </c>
      <c r="O16" s="71" t="s">
        <v>217</v>
      </c>
      <c r="P16" s="3" t="s">
        <v>95</v>
      </c>
      <c r="Q16" s="3" t="s">
        <v>68</v>
      </c>
      <c r="R16" s="3" t="s">
        <v>208</v>
      </c>
      <c r="S16" s="71" t="s">
        <v>167</v>
      </c>
      <c r="T16" s="3" t="s">
        <v>209</v>
      </c>
      <c r="U16" s="3" t="s">
        <v>168</v>
      </c>
      <c r="V16" s="3" t="s">
        <v>107</v>
      </c>
      <c r="W16" s="3" t="s">
        <v>199</v>
      </c>
      <c r="X16" s="3" t="s">
        <v>109</v>
      </c>
      <c r="Y16" s="3" t="s">
        <v>110</v>
      </c>
      <c r="Z16" s="69" t="s">
        <v>218</v>
      </c>
      <c r="AA16" s="3" t="s">
        <v>112</v>
      </c>
      <c r="AB16" s="3" t="s">
        <v>201</v>
      </c>
      <c r="AC16" s="3" t="s">
        <v>114</v>
      </c>
      <c r="AD16" s="3" t="s">
        <v>115</v>
      </c>
      <c r="AE16" s="54" t="s">
        <v>116</v>
      </c>
      <c r="AF16" s="70" t="s">
        <v>202</v>
      </c>
      <c r="AG16" s="3" t="s">
        <v>118</v>
      </c>
      <c r="AH16" s="3" t="s">
        <v>188</v>
      </c>
      <c r="AI16" s="3"/>
      <c r="AJ16" s="71" t="s">
        <v>167</v>
      </c>
      <c r="AK16" s="3"/>
      <c r="AL16" s="3"/>
      <c r="AM16" s="42" t="s">
        <v>219</v>
      </c>
    </row>
    <row r="17" spans="2:39" hidden="1" x14ac:dyDescent="0.2">
      <c r="B17" s="2" t="s">
        <v>214</v>
      </c>
      <c r="C17" s="54" t="s">
        <v>220</v>
      </c>
      <c r="D17" s="3" t="s">
        <v>221</v>
      </c>
      <c r="E17" s="54" t="s">
        <v>222</v>
      </c>
      <c r="F17" s="3" t="s">
        <v>92</v>
      </c>
      <c r="G17" s="3" t="s">
        <v>93</v>
      </c>
      <c r="H17" s="3" t="s">
        <v>94</v>
      </c>
      <c r="I17" s="3" t="s">
        <v>223</v>
      </c>
      <c r="J17" s="3" t="s">
        <v>223</v>
      </c>
      <c r="K17" s="3" t="s">
        <v>224</v>
      </c>
      <c r="L17" s="3"/>
      <c r="M17" s="3"/>
      <c r="N17" s="3" t="s">
        <v>99</v>
      </c>
      <c r="O17" s="3" t="s">
        <v>225</v>
      </c>
      <c r="P17" s="3" t="s">
        <v>95</v>
      </c>
      <c r="Q17" s="3" t="s">
        <v>68</v>
      </c>
      <c r="R17" s="3" t="s">
        <v>226</v>
      </c>
      <c r="S17" s="71" t="s">
        <v>227</v>
      </c>
      <c r="T17" s="3" t="s">
        <v>180</v>
      </c>
      <c r="U17" s="3" t="s">
        <v>106</v>
      </c>
      <c r="V17" s="3" t="s">
        <v>107</v>
      </c>
      <c r="W17" s="79" t="s">
        <v>228</v>
      </c>
      <c r="X17" s="3" t="s">
        <v>109</v>
      </c>
      <c r="Y17" s="3"/>
      <c r="Z17" s="3" t="s">
        <v>229</v>
      </c>
      <c r="AA17" s="3" t="s">
        <v>112</v>
      </c>
      <c r="AB17" s="3" t="s">
        <v>184</v>
      </c>
      <c r="AC17" s="3" t="s">
        <v>185</v>
      </c>
      <c r="AD17" s="3" t="s">
        <v>230</v>
      </c>
      <c r="AE17" s="3" t="s">
        <v>231</v>
      </c>
      <c r="AF17" s="3" t="s">
        <v>232</v>
      </c>
      <c r="AG17" s="3" t="s">
        <v>118</v>
      </c>
      <c r="AH17" s="3" t="s">
        <v>233</v>
      </c>
      <c r="AI17" s="3"/>
      <c r="AJ17" s="71" t="s">
        <v>167</v>
      </c>
      <c r="AK17" s="3"/>
      <c r="AL17" s="3"/>
      <c r="AM17" s="42" t="s">
        <v>234</v>
      </c>
    </row>
    <row r="18" spans="2:39" hidden="1" x14ac:dyDescent="0.2">
      <c r="B18" s="2" t="s">
        <v>214</v>
      </c>
      <c r="C18" s="3" t="s">
        <v>235</v>
      </c>
      <c r="D18" s="3" t="s">
        <v>236</v>
      </c>
      <c r="E18" s="54" t="s">
        <v>237</v>
      </c>
      <c r="F18" s="3" t="s">
        <v>92</v>
      </c>
      <c r="G18" s="3" t="s">
        <v>93</v>
      </c>
      <c r="H18" s="3" t="s">
        <v>94</v>
      </c>
      <c r="I18" s="3" t="s">
        <v>238</v>
      </c>
      <c r="J18" s="3" t="s">
        <v>68</v>
      </c>
      <c r="K18" s="3" t="s">
        <v>239</v>
      </c>
      <c r="L18" s="3" t="s">
        <v>240</v>
      </c>
      <c r="M18" s="3"/>
      <c r="N18" s="3" t="s">
        <v>99</v>
      </c>
      <c r="O18" s="3"/>
      <c r="P18" s="3" t="s">
        <v>95</v>
      </c>
      <c r="Q18" s="3" t="s">
        <v>68</v>
      </c>
      <c r="R18" s="3" t="s">
        <v>226</v>
      </c>
      <c r="S18" s="71" t="s">
        <v>167</v>
      </c>
      <c r="T18" s="3" t="s">
        <v>180</v>
      </c>
      <c r="U18" s="3" t="s">
        <v>168</v>
      </c>
      <c r="V18" s="3" t="s">
        <v>107</v>
      </c>
      <c r="W18" s="79" t="s">
        <v>241</v>
      </c>
      <c r="X18" s="3" t="s">
        <v>109</v>
      </c>
      <c r="Y18" s="3"/>
      <c r="Z18" s="3"/>
      <c r="AA18" s="3" t="s">
        <v>112</v>
      </c>
      <c r="AB18" s="3" t="s">
        <v>242</v>
      </c>
      <c r="AC18" s="3" t="s">
        <v>114</v>
      </c>
      <c r="AD18" s="3" t="s">
        <v>115</v>
      </c>
      <c r="AE18" s="3"/>
      <c r="AF18" s="3" t="s">
        <v>243</v>
      </c>
      <c r="AG18" s="3"/>
      <c r="AH18" s="3" t="s">
        <v>68</v>
      </c>
      <c r="AI18" s="3"/>
      <c r="AJ18" s="3"/>
      <c r="AK18" s="3"/>
      <c r="AL18" s="3"/>
      <c r="AM18" s="42" t="s">
        <v>234</v>
      </c>
    </row>
    <row r="19" spans="2:39" hidden="1" x14ac:dyDescent="0.2">
      <c r="B19" s="2" t="s">
        <v>214</v>
      </c>
      <c r="C19" s="3" t="s">
        <v>244</v>
      </c>
      <c r="D19" s="3" t="s">
        <v>245</v>
      </c>
      <c r="E19" s="3" t="s">
        <v>237</v>
      </c>
      <c r="F19" s="3" t="s">
        <v>148</v>
      </c>
      <c r="G19" s="3" t="s">
        <v>93</v>
      </c>
      <c r="H19" s="3" t="s">
        <v>246</v>
      </c>
      <c r="I19" s="3" t="s">
        <v>238</v>
      </c>
      <c r="J19" s="3" t="s">
        <v>68</v>
      </c>
      <c r="K19" s="3" t="s">
        <v>239</v>
      </c>
      <c r="L19" s="3" t="s">
        <v>240</v>
      </c>
      <c r="M19" s="3"/>
      <c r="N19" s="3" t="s">
        <v>99</v>
      </c>
      <c r="O19" s="3"/>
      <c r="P19" s="3" t="s">
        <v>95</v>
      </c>
      <c r="Q19" s="3" t="s">
        <v>68</v>
      </c>
      <c r="R19" s="3" t="s">
        <v>226</v>
      </c>
      <c r="S19" s="3" t="s">
        <v>167</v>
      </c>
      <c r="T19" s="3" t="s">
        <v>180</v>
      </c>
      <c r="U19" s="3" t="s">
        <v>168</v>
      </c>
      <c r="V19" s="3" t="s">
        <v>107</v>
      </c>
      <c r="W19" s="79" t="s">
        <v>247</v>
      </c>
      <c r="X19" s="3" t="s">
        <v>109</v>
      </c>
      <c r="Y19" s="3"/>
      <c r="Z19" s="67"/>
      <c r="AA19" s="3" t="s">
        <v>112</v>
      </c>
      <c r="AB19" s="2" t="s">
        <v>242</v>
      </c>
      <c r="AC19" s="3" t="s">
        <v>114</v>
      </c>
      <c r="AD19" s="3" t="s">
        <v>115</v>
      </c>
      <c r="AE19" s="3"/>
      <c r="AF19" s="3" t="s">
        <v>248</v>
      </c>
      <c r="AG19" s="3"/>
      <c r="AH19" s="3" t="s">
        <v>68</v>
      </c>
      <c r="AI19" s="3" t="s">
        <v>167</v>
      </c>
      <c r="AJ19" s="3"/>
      <c r="AK19" s="3"/>
      <c r="AL19" s="3" t="s">
        <v>123</v>
      </c>
      <c r="AM19" s="3" t="s">
        <v>234</v>
      </c>
    </row>
    <row r="20" spans="2:39" hidden="1" x14ac:dyDescent="0.2">
      <c r="B20" s="2" t="s">
        <v>214</v>
      </c>
      <c r="C20" s="3" t="s">
        <v>249</v>
      </c>
      <c r="D20" s="3" t="s">
        <v>250</v>
      </c>
      <c r="E20" s="3" t="s">
        <v>251</v>
      </c>
      <c r="F20" s="3" t="s">
        <v>92</v>
      </c>
      <c r="G20" s="3" t="s">
        <v>93</v>
      </c>
      <c r="H20" s="3" t="s">
        <v>246</v>
      </c>
      <c r="I20" s="3"/>
      <c r="J20" s="3" t="s">
        <v>252</v>
      </c>
      <c r="K20" s="3" t="s">
        <v>253</v>
      </c>
      <c r="L20" s="3"/>
      <c r="M20" s="3"/>
      <c r="N20" s="3" t="s">
        <v>254</v>
      </c>
      <c r="O20" s="3" t="s">
        <v>255</v>
      </c>
      <c r="P20" s="3" t="s">
        <v>256</v>
      </c>
      <c r="Q20" s="3" t="s">
        <v>68</v>
      </c>
      <c r="R20" s="3" t="s">
        <v>257</v>
      </c>
      <c r="S20" s="3" t="s">
        <v>258</v>
      </c>
      <c r="T20" s="3" t="s">
        <v>180</v>
      </c>
      <c r="U20" s="3" t="s">
        <v>168</v>
      </c>
      <c r="V20" s="3" t="s">
        <v>107</v>
      </c>
      <c r="W20" s="79" t="s">
        <v>228</v>
      </c>
      <c r="X20" s="3"/>
      <c r="Y20" s="3"/>
      <c r="Z20" s="69"/>
      <c r="AA20" s="3" t="s">
        <v>112</v>
      </c>
      <c r="AB20" s="3"/>
      <c r="AC20" s="3" t="s">
        <v>185</v>
      </c>
      <c r="AD20" s="3" t="s">
        <v>186</v>
      </c>
      <c r="AE20" s="3" t="s">
        <v>167</v>
      </c>
      <c r="AF20" s="3" t="s">
        <v>259</v>
      </c>
      <c r="AG20" s="3"/>
      <c r="AH20" s="3" t="s">
        <v>260</v>
      </c>
      <c r="AI20" s="3"/>
      <c r="AJ20" s="3"/>
      <c r="AK20" s="3" t="s">
        <v>261</v>
      </c>
      <c r="AL20" s="3" t="s">
        <v>262</v>
      </c>
      <c r="AM20" s="3"/>
    </row>
    <row r="21" spans="2:39" hidden="1" x14ac:dyDescent="0.2">
      <c r="B21" s="2" t="s">
        <v>214</v>
      </c>
      <c r="C21" s="3" t="s">
        <v>263</v>
      </c>
      <c r="D21" s="3" t="s">
        <v>264</v>
      </c>
      <c r="E21" s="3" t="s">
        <v>265</v>
      </c>
      <c r="F21" s="3" t="s">
        <v>92</v>
      </c>
      <c r="G21" s="3" t="s">
        <v>93</v>
      </c>
      <c r="H21" s="3" t="s">
        <v>94</v>
      </c>
      <c r="I21" s="3" t="s">
        <v>95</v>
      </c>
      <c r="J21" s="3" t="s">
        <v>68</v>
      </c>
      <c r="K21" s="3" t="s">
        <v>266</v>
      </c>
      <c r="L21" s="3"/>
      <c r="M21" s="3"/>
      <c r="N21" s="3" t="s">
        <v>99</v>
      </c>
      <c r="O21" s="71" t="s">
        <v>267</v>
      </c>
      <c r="P21" s="3" t="s">
        <v>268</v>
      </c>
      <c r="Q21" s="3" t="s">
        <v>140</v>
      </c>
      <c r="R21" s="3" t="s">
        <v>269</v>
      </c>
      <c r="S21" s="3"/>
      <c r="T21" s="3" t="s">
        <v>180</v>
      </c>
      <c r="U21" s="3" t="s">
        <v>168</v>
      </c>
      <c r="V21" s="3" t="s">
        <v>107</v>
      </c>
      <c r="W21" s="79" t="s">
        <v>270</v>
      </c>
      <c r="X21" s="3" t="s">
        <v>109</v>
      </c>
      <c r="Y21" s="3" t="s">
        <v>271</v>
      </c>
      <c r="Z21" s="3" t="s">
        <v>272</v>
      </c>
      <c r="AA21" s="3" t="s">
        <v>112</v>
      </c>
      <c r="AB21" s="3" t="s">
        <v>242</v>
      </c>
      <c r="AC21" s="3" t="s">
        <v>114</v>
      </c>
      <c r="AD21" s="3" t="s">
        <v>230</v>
      </c>
      <c r="AE21" s="3" t="s">
        <v>116</v>
      </c>
      <c r="AF21" s="3" t="s">
        <v>273</v>
      </c>
      <c r="AG21" s="3" t="s">
        <v>118</v>
      </c>
      <c r="AH21" s="3" t="s">
        <v>233</v>
      </c>
      <c r="AI21" s="3"/>
      <c r="AJ21" s="3"/>
      <c r="AK21" s="3"/>
      <c r="AL21" s="3" t="s">
        <v>123</v>
      </c>
      <c r="AM21" s="42" t="s">
        <v>234</v>
      </c>
    </row>
    <row r="22" spans="2:39" hidden="1" x14ac:dyDescent="0.2">
      <c r="C22" s="3"/>
      <c r="D22" s="81" t="s">
        <v>274</v>
      </c>
      <c r="E22" s="3" t="s">
        <v>265</v>
      </c>
      <c r="F22" s="3" t="s">
        <v>92</v>
      </c>
      <c r="G22" s="3" t="s">
        <v>93</v>
      </c>
      <c r="H22" s="3" t="s">
        <v>94</v>
      </c>
      <c r="I22" s="3"/>
      <c r="J22" s="3" t="s">
        <v>275</v>
      </c>
      <c r="K22" s="3" t="s">
        <v>276</v>
      </c>
      <c r="L22" s="3"/>
      <c r="M22" s="3"/>
      <c r="N22" s="3" t="s">
        <v>99</v>
      </c>
      <c r="O22" s="67"/>
      <c r="P22" s="3" t="s">
        <v>256</v>
      </c>
      <c r="Q22" s="68" t="s">
        <v>275</v>
      </c>
      <c r="R22" s="3" t="s">
        <v>269</v>
      </c>
      <c r="S22" s="67"/>
      <c r="T22" s="67" t="s">
        <v>180</v>
      </c>
      <c r="U22" s="67" t="s">
        <v>168</v>
      </c>
      <c r="V22" s="68" t="s">
        <v>107</v>
      </c>
      <c r="W22" s="79" t="s">
        <v>241</v>
      </c>
      <c r="X22" s="67" t="s">
        <v>109</v>
      </c>
      <c r="Y22" s="67"/>
      <c r="Z22" s="3" t="s">
        <v>272</v>
      </c>
      <c r="AA22" s="3" t="s">
        <v>112</v>
      </c>
      <c r="AB22" s="67" t="s">
        <v>201</v>
      </c>
      <c r="AC22" s="3" t="s">
        <v>114</v>
      </c>
      <c r="AD22" s="3"/>
      <c r="AE22" s="67"/>
      <c r="AF22" s="3" t="s">
        <v>248</v>
      </c>
      <c r="AG22" s="82"/>
      <c r="AH22" s="3" t="s">
        <v>233</v>
      </c>
      <c r="AI22" s="67"/>
      <c r="AJ22" s="67"/>
      <c r="AK22" s="68"/>
      <c r="AL22" s="3"/>
      <c r="AM22" s="42"/>
    </row>
    <row r="23" spans="2:39" hidden="1" x14ac:dyDescent="0.2">
      <c r="C23" s="3" t="s">
        <v>277</v>
      </c>
      <c r="D23" s="81" t="s">
        <v>278</v>
      </c>
      <c r="E23" s="83" t="s">
        <v>279</v>
      </c>
      <c r="F23" s="82" t="s">
        <v>148</v>
      </c>
      <c r="G23" s="83" t="s">
        <v>93</v>
      </c>
      <c r="H23" s="66" t="s">
        <v>246</v>
      </c>
      <c r="I23" s="3" t="s">
        <v>95</v>
      </c>
      <c r="J23" s="3" t="s">
        <v>68</v>
      </c>
      <c r="K23" s="3" t="s">
        <v>239</v>
      </c>
      <c r="L23" s="3"/>
      <c r="M23" s="3"/>
      <c r="N23" s="3" t="s">
        <v>99</v>
      </c>
      <c r="O23" s="67"/>
      <c r="P23" s="67" t="s">
        <v>280</v>
      </c>
      <c r="Q23" s="68" t="s">
        <v>280</v>
      </c>
      <c r="R23" s="67" t="s">
        <v>281</v>
      </c>
      <c r="S23" s="67"/>
      <c r="T23" s="67"/>
      <c r="U23" s="67" t="s">
        <v>168</v>
      </c>
      <c r="V23" s="68"/>
      <c r="W23" s="79" t="s">
        <v>282</v>
      </c>
      <c r="X23" s="67" t="s">
        <v>283</v>
      </c>
      <c r="Y23" s="67"/>
      <c r="Z23" s="3" t="s">
        <v>272</v>
      </c>
      <c r="AA23" s="67" t="s">
        <v>112</v>
      </c>
      <c r="AB23" s="67"/>
      <c r="AC23" s="3"/>
      <c r="AD23" s="3"/>
      <c r="AE23" s="67"/>
      <c r="AF23" s="3" t="s">
        <v>248</v>
      </c>
      <c r="AG23" s="82"/>
      <c r="AH23" s="67" t="s">
        <v>280</v>
      </c>
      <c r="AI23" s="67"/>
      <c r="AJ23" s="67"/>
      <c r="AK23" s="68"/>
      <c r="AL23" s="3"/>
      <c r="AM23" s="42"/>
    </row>
    <row r="24" spans="2:39" hidden="1" x14ac:dyDescent="0.2">
      <c r="B24" s="2" t="s">
        <v>214</v>
      </c>
      <c r="C24" s="3" t="s">
        <v>284</v>
      </c>
      <c r="D24" s="3" t="s">
        <v>285</v>
      </c>
      <c r="E24" s="3" t="s">
        <v>286</v>
      </c>
      <c r="F24" s="3" t="s">
        <v>92</v>
      </c>
      <c r="G24" s="3" t="s">
        <v>93</v>
      </c>
      <c r="H24" s="3" t="s">
        <v>94</v>
      </c>
      <c r="I24" s="3" t="s">
        <v>287</v>
      </c>
      <c r="J24" s="3" t="s">
        <v>288</v>
      </c>
      <c r="K24" s="3" t="s">
        <v>289</v>
      </c>
      <c r="L24" s="3" t="s">
        <v>290</v>
      </c>
      <c r="M24" s="3" t="s">
        <v>175</v>
      </c>
      <c r="N24" s="3" t="s">
        <v>99</v>
      </c>
      <c r="O24" s="87" t="s">
        <v>291</v>
      </c>
      <c r="P24" s="3" t="s">
        <v>95</v>
      </c>
      <c r="Q24" s="3" t="s">
        <v>68</v>
      </c>
      <c r="R24" s="3" t="s">
        <v>292</v>
      </c>
      <c r="S24" s="3"/>
      <c r="T24" s="3" t="s">
        <v>180</v>
      </c>
      <c r="U24" s="3" t="s">
        <v>168</v>
      </c>
      <c r="V24" s="3" t="s">
        <v>293</v>
      </c>
      <c r="W24" s="79" t="s">
        <v>294</v>
      </c>
      <c r="X24" s="3" t="s">
        <v>109</v>
      </c>
      <c r="Y24" s="3" t="s">
        <v>271</v>
      </c>
      <c r="Z24" s="3" t="s">
        <v>272</v>
      </c>
      <c r="AA24" s="3" t="s">
        <v>112</v>
      </c>
      <c r="AB24" s="3" t="s">
        <v>295</v>
      </c>
      <c r="AC24" s="3" t="s">
        <v>114</v>
      </c>
      <c r="AD24" s="3" t="s">
        <v>115</v>
      </c>
      <c r="AE24" s="3" t="s">
        <v>116</v>
      </c>
      <c r="AF24" s="3" t="s">
        <v>248</v>
      </c>
      <c r="AG24" s="3" t="s">
        <v>118</v>
      </c>
      <c r="AH24" s="3" t="s">
        <v>233</v>
      </c>
      <c r="AI24" s="71" t="s">
        <v>167</v>
      </c>
      <c r="AJ24" s="3"/>
      <c r="AK24" s="3"/>
      <c r="AL24" s="3" t="s">
        <v>123</v>
      </c>
      <c r="AM24" s="42" t="s">
        <v>234</v>
      </c>
    </row>
    <row r="25" spans="2:39" hidden="1" x14ac:dyDescent="0.2">
      <c r="B25" s="2" t="s">
        <v>214</v>
      </c>
      <c r="C25" s="3"/>
      <c r="D25" s="3" t="s">
        <v>296</v>
      </c>
      <c r="E25" s="3"/>
      <c r="F25" s="3"/>
      <c r="G25" s="3" t="s">
        <v>93</v>
      </c>
      <c r="H25" s="3" t="s">
        <v>94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79" t="s">
        <v>297</v>
      </c>
      <c r="X25" s="3"/>
      <c r="Y25" s="3"/>
      <c r="Z25" s="3" t="s">
        <v>272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2"/>
    </row>
    <row r="26" spans="2:39" hidden="1" x14ac:dyDescent="0.2">
      <c r="B26" s="2" t="s">
        <v>214</v>
      </c>
      <c r="C26" s="3"/>
      <c r="D26" s="3" t="s">
        <v>298</v>
      </c>
      <c r="E26" s="3" t="s">
        <v>299</v>
      </c>
      <c r="F26" s="3" t="s">
        <v>92</v>
      </c>
      <c r="G26" s="3" t="s">
        <v>93</v>
      </c>
      <c r="H26" s="3" t="s">
        <v>94</v>
      </c>
      <c r="I26" s="3" t="s">
        <v>95</v>
      </c>
      <c r="J26" s="3" t="s">
        <v>68</v>
      </c>
      <c r="K26" s="3" t="s">
        <v>300</v>
      </c>
      <c r="L26" s="3"/>
      <c r="M26" s="3"/>
      <c r="N26" s="3" t="s">
        <v>99</v>
      </c>
      <c r="O26" s="3"/>
      <c r="P26" s="3" t="s">
        <v>301</v>
      </c>
      <c r="Q26" s="3" t="s">
        <v>68</v>
      </c>
      <c r="R26" s="3" t="s">
        <v>302</v>
      </c>
      <c r="S26" s="3"/>
      <c r="T26" s="3" t="s">
        <v>180</v>
      </c>
      <c r="U26" s="3" t="s">
        <v>168</v>
      </c>
      <c r="V26" s="3" t="s">
        <v>107</v>
      </c>
      <c r="W26" s="79" t="s">
        <v>303</v>
      </c>
      <c r="X26" s="3" t="s">
        <v>109</v>
      </c>
      <c r="Y26" s="3"/>
      <c r="Z26" s="3" t="s">
        <v>272</v>
      </c>
      <c r="AA26" s="3" t="s">
        <v>112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42"/>
    </row>
    <row r="27" spans="2:39" hidden="1" x14ac:dyDescent="0.2">
      <c r="B27" s="2" t="s">
        <v>214</v>
      </c>
      <c r="C27" s="3"/>
      <c r="D27" s="3" t="s">
        <v>304</v>
      </c>
      <c r="E27" s="3" t="s">
        <v>305</v>
      </c>
      <c r="F27" s="3" t="s">
        <v>92</v>
      </c>
      <c r="G27" s="3" t="s">
        <v>93</v>
      </c>
      <c r="H27" s="3" t="s">
        <v>94</v>
      </c>
      <c r="I27" s="3" t="s">
        <v>95</v>
      </c>
      <c r="J27" s="3" t="s">
        <v>68</v>
      </c>
      <c r="K27" s="3" t="s">
        <v>300</v>
      </c>
      <c r="L27" s="3"/>
      <c r="M27" s="3"/>
      <c r="N27" s="3" t="s">
        <v>99</v>
      </c>
      <c r="O27" s="3"/>
      <c r="P27" s="3" t="s">
        <v>301</v>
      </c>
      <c r="Q27" s="3" t="s">
        <v>68</v>
      </c>
      <c r="R27" s="3" t="s">
        <v>302</v>
      </c>
      <c r="S27" s="3"/>
      <c r="T27" s="3" t="s">
        <v>180</v>
      </c>
      <c r="U27" s="3" t="s">
        <v>168</v>
      </c>
      <c r="V27" s="3" t="s">
        <v>107</v>
      </c>
      <c r="W27" s="79" t="s">
        <v>306</v>
      </c>
      <c r="X27" s="3" t="s">
        <v>109</v>
      </c>
      <c r="Y27" s="3"/>
      <c r="Z27" s="3" t="s">
        <v>272</v>
      </c>
      <c r="AA27" s="3" t="s">
        <v>112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42"/>
    </row>
    <row r="28" spans="2:39" hidden="1" x14ac:dyDescent="0.2">
      <c r="B28" s="2" t="s">
        <v>214</v>
      </c>
      <c r="C28" s="3"/>
      <c r="D28" s="3" t="s">
        <v>307</v>
      </c>
      <c r="E28" s="3" t="s">
        <v>308</v>
      </c>
      <c r="F28" s="3" t="s">
        <v>92</v>
      </c>
      <c r="G28" s="3" t="s">
        <v>93</v>
      </c>
      <c r="H28" s="3" t="s">
        <v>94</v>
      </c>
      <c r="I28" s="3" t="s">
        <v>95</v>
      </c>
      <c r="J28" s="3" t="s">
        <v>68</v>
      </c>
      <c r="K28" s="3" t="s">
        <v>309</v>
      </c>
      <c r="L28" s="3"/>
      <c r="M28" s="3"/>
      <c r="N28" s="3" t="s">
        <v>310</v>
      </c>
      <c r="O28" s="3"/>
      <c r="P28" s="3" t="s">
        <v>311</v>
      </c>
      <c r="Q28" s="3" t="s">
        <v>312</v>
      </c>
      <c r="R28" s="3" t="s">
        <v>313</v>
      </c>
      <c r="S28" s="3"/>
      <c r="T28" s="3" t="s">
        <v>209</v>
      </c>
      <c r="U28" s="3" t="s">
        <v>168</v>
      </c>
      <c r="V28" s="3" t="s">
        <v>293</v>
      </c>
      <c r="W28" s="3"/>
      <c r="X28" s="3" t="s">
        <v>314</v>
      </c>
      <c r="Y28" s="3"/>
      <c r="Z28" s="3" t="s">
        <v>272</v>
      </c>
      <c r="AA28" s="3" t="s">
        <v>112</v>
      </c>
      <c r="AB28" s="3"/>
      <c r="AC28" s="3"/>
      <c r="AD28" s="3"/>
      <c r="AE28" s="3"/>
      <c r="AF28" s="3"/>
      <c r="AG28" s="3"/>
      <c r="AH28" s="3" t="s">
        <v>260</v>
      </c>
      <c r="AI28" s="96"/>
      <c r="AJ28" s="96"/>
      <c r="AK28" s="96"/>
      <c r="AL28" s="2"/>
      <c r="AM28" s="2"/>
    </row>
    <row r="29" spans="2:39" ht="16" hidden="1" x14ac:dyDescent="0.2">
      <c r="C29" s="114" t="s">
        <v>315</v>
      </c>
      <c r="D29" s="73" t="s">
        <v>316</v>
      </c>
      <c r="E29" s="73" t="s">
        <v>317</v>
      </c>
      <c r="F29" s="73" t="s">
        <v>135</v>
      </c>
      <c r="G29" s="73" t="s">
        <v>318</v>
      </c>
      <c r="H29" s="73" t="s">
        <v>319</v>
      </c>
      <c r="I29" s="73" t="s">
        <v>320</v>
      </c>
      <c r="J29" s="73" t="s">
        <v>68</v>
      </c>
      <c r="K29" s="73" t="s">
        <v>112</v>
      </c>
      <c r="L29" s="73" t="s">
        <v>174</v>
      </c>
      <c r="M29" s="73" t="s">
        <v>175</v>
      </c>
      <c r="N29" s="73" t="s">
        <v>99</v>
      </c>
      <c r="O29" s="115" t="s">
        <v>321</v>
      </c>
      <c r="P29" s="73" t="s">
        <v>177</v>
      </c>
      <c r="Q29" s="73" t="s">
        <v>68</v>
      </c>
      <c r="R29" s="73" t="s">
        <v>208</v>
      </c>
      <c r="S29" s="73" t="s">
        <v>322</v>
      </c>
      <c r="T29" s="73" t="s">
        <v>180</v>
      </c>
      <c r="U29" s="73" t="s">
        <v>106</v>
      </c>
      <c r="V29" s="73" t="s">
        <v>107</v>
      </c>
      <c r="W29" s="116" t="s">
        <v>323</v>
      </c>
      <c r="X29" s="73" t="s">
        <v>109</v>
      </c>
      <c r="Y29" s="73" t="s">
        <v>110</v>
      </c>
      <c r="Z29" s="73" t="s">
        <v>324</v>
      </c>
      <c r="AA29" s="73" t="s">
        <v>112</v>
      </c>
      <c r="AB29" s="73" t="s">
        <v>113</v>
      </c>
      <c r="AC29" s="73" t="s">
        <v>185</v>
      </c>
      <c r="AD29" s="73" t="s">
        <v>186</v>
      </c>
      <c r="AE29" s="114" t="s">
        <v>325</v>
      </c>
      <c r="AF29" s="73" t="s">
        <v>273</v>
      </c>
      <c r="AG29" s="73" t="s">
        <v>118</v>
      </c>
      <c r="AH29" s="73" t="s">
        <v>188</v>
      </c>
      <c r="AI29" s="73" t="s">
        <v>189</v>
      </c>
      <c r="AJ29" s="73" t="s">
        <v>326</v>
      </c>
      <c r="AK29" s="73" t="s">
        <v>326</v>
      </c>
      <c r="AL29" s="117" t="s">
        <v>326</v>
      </c>
    </row>
    <row r="30" spans="2:39" ht="16" hidden="1" x14ac:dyDescent="0.2">
      <c r="C30" s="73" t="s">
        <v>327</v>
      </c>
      <c r="D30" s="73" t="s">
        <v>328</v>
      </c>
      <c r="E30" s="73" t="s">
        <v>317</v>
      </c>
      <c r="F30" s="73" t="s">
        <v>148</v>
      </c>
      <c r="G30" s="73" t="s">
        <v>318</v>
      </c>
      <c r="H30" s="73" t="s">
        <v>319</v>
      </c>
      <c r="I30" s="73" t="s">
        <v>320</v>
      </c>
      <c r="J30" s="73" t="s">
        <v>68</v>
      </c>
      <c r="K30" s="73" t="s">
        <v>112</v>
      </c>
      <c r="L30" s="73" t="s">
        <v>174</v>
      </c>
      <c r="M30" s="73" t="s">
        <v>175</v>
      </c>
      <c r="N30" s="73" t="s">
        <v>99</v>
      </c>
      <c r="O30" s="115" t="s">
        <v>329</v>
      </c>
      <c r="P30" s="73" t="s">
        <v>193</v>
      </c>
      <c r="Q30" s="73" t="s">
        <v>68</v>
      </c>
      <c r="R30" s="73" t="s">
        <v>208</v>
      </c>
      <c r="S30" s="73" t="s">
        <v>322</v>
      </c>
      <c r="T30" s="73" t="s">
        <v>180</v>
      </c>
      <c r="U30" s="73" t="s">
        <v>106</v>
      </c>
      <c r="V30" s="73" t="s">
        <v>107</v>
      </c>
      <c r="W30" s="116" t="s">
        <v>330</v>
      </c>
      <c r="X30" s="73" t="s">
        <v>109</v>
      </c>
      <c r="Y30" s="73" t="s">
        <v>110</v>
      </c>
      <c r="Z30" s="73" t="s">
        <v>324</v>
      </c>
      <c r="AA30" s="73" t="s">
        <v>112</v>
      </c>
      <c r="AB30" s="73" t="s">
        <v>113</v>
      </c>
      <c r="AC30" s="73" t="s">
        <v>185</v>
      </c>
      <c r="AD30" s="73" t="s">
        <v>186</v>
      </c>
      <c r="AE30" s="73" t="s">
        <v>325</v>
      </c>
      <c r="AF30" s="73" t="s">
        <v>273</v>
      </c>
      <c r="AG30" s="73" t="s">
        <v>118</v>
      </c>
      <c r="AH30" s="73" t="s">
        <v>188</v>
      </c>
      <c r="AI30" s="73" t="s">
        <v>189</v>
      </c>
      <c r="AJ30" s="73" t="s">
        <v>326</v>
      </c>
      <c r="AK30" s="73" t="s">
        <v>326</v>
      </c>
      <c r="AL30" s="73" t="s">
        <v>326</v>
      </c>
    </row>
    <row r="31" spans="2:39" ht="16" hidden="1" x14ac:dyDescent="0.2">
      <c r="C31" s="73" t="s">
        <v>331</v>
      </c>
      <c r="D31" s="73" t="s">
        <v>332</v>
      </c>
      <c r="E31" s="73" t="s">
        <v>333</v>
      </c>
      <c r="F31" s="73" t="s">
        <v>135</v>
      </c>
      <c r="G31" s="73" t="s">
        <v>318</v>
      </c>
      <c r="H31" s="73" t="s">
        <v>319</v>
      </c>
      <c r="I31" s="73" t="s">
        <v>334</v>
      </c>
      <c r="J31" s="73" t="s">
        <v>68</v>
      </c>
      <c r="K31" s="73" t="s">
        <v>335</v>
      </c>
      <c r="L31" s="73" t="s">
        <v>174</v>
      </c>
      <c r="M31" s="73" t="s">
        <v>175</v>
      </c>
      <c r="N31" s="73" t="s">
        <v>99</v>
      </c>
      <c r="O31" s="115" t="s">
        <v>336</v>
      </c>
      <c r="P31" s="73" t="s">
        <v>337</v>
      </c>
      <c r="Q31" s="73" t="s">
        <v>68</v>
      </c>
      <c r="R31" s="73" t="s">
        <v>338</v>
      </c>
      <c r="S31" s="73" t="s">
        <v>339</v>
      </c>
      <c r="T31" s="73" t="s">
        <v>180</v>
      </c>
      <c r="U31" s="73" t="s">
        <v>106</v>
      </c>
      <c r="V31" s="73" t="s">
        <v>107</v>
      </c>
      <c r="W31" s="116" t="s">
        <v>323</v>
      </c>
      <c r="X31" s="73" t="s">
        <v>109</v>
      </c>
      <c r="Y31" s="73" t="s">
        <v>110</v>
      </c>
      <c r="Z31" s="73" t="s">
        <v>324</v>
      </c>
      <c r="AA31" s="73" t="s">
        <v>144</v>
      </c>
      <c r="AB31" s="73" t="s">
        <v>113</v>
      </c>
      <c r="AC31" s="73" t="s">
        <v>185</v>
      </c>
      <c r="AD31" s="73" t="s">
        <v>186</v>
      </c>
      <c r="AE31" s="114" t="s">
        <v>325</v>
      </c>
      <c r="AF31" s="73" t="s">
        <v>273</v>
      </c>
      <c r="AG31" s="73" t="s">
        <v>118</v>
      </c>
      <c r="AH31" s="73" t="s">
        <v>188</v>
      </c>
      <c r="AI31" s="73" t="s">
        <v>189</v>
      </c>
      <c r="AJ31" s="73" t="s">
        <v>326</v>
      </c>
      <c r="AK31" s="73" t="s">
        <v>326</v>
      </c>
      <c r="AL31" s="73" t="s">
        <v>326</v>
      </c>
    </row>
    <row r="32" spans="2:39" ht="16" hidden="1" x14ac:dyDescent="0.2">
      <c r="C32" s="73" t="s">
        <v>340</v>
      </c>
      <c r="D32" s="73" t="s">
        <v>341</v>
      </c>
      <c r="E32" s="73" t="s">
        <v>333</v>
      </c>
      <c r="F32" s="73" t="s">
        <v>148</v>
      </c>
      <c r="G32" s="73" t="s">
        <v>318</v>
      </c>
      <c r="H32" s="73" t="s">
        <v>319</v>
      </c>
      <c r="I32" s="73" t="s">
        <v>342</v>
      </c>
      <c r="J32" s="73" t="s">
        <v>68</v>
      </c>
      <c r="K32" s="73" t="s">
        <v>335</v>
      </c>
      <c r="L32" s="73" t="s">
        <v>174</v>
      </c>
      <c r="M32" s="73" t="s">
        <v>175</v>
      </c>
      <c r="N32" s="73" t="s">
        <v>99</v>
      </c>
      <c r="O32" s="115" t="s">
        <v>336</v>
      </c>
      <c r="P32" s="73" t="s">
        <v>343</v>
      </c>
      <c r="Q32" s="73" t="s">
        <v>68</v>
      </c>
      <c r="R32" s="73" t="s">
        <v>338</v>
      </c>
      <c r="S32" s="73" t="s">
        <v>339</v>
      </c>
      <c r="T32" s="73" t="s">
        <v>180</v>
      </c>
      <c r="U32" s="73" t="s">
        <v>106</v>
      </c>
      <c r="V32" s="73" t="s">
        <v>107</v>
      </c>
      <c r="W32" s="116" t="s">
        <v>330</v>
      </c>
      <c r="X32" s="73" t="s">
        <v>109</v>
      </c>
      <c r="Y32" s="73" t="s">
        <v>110</v>
      </c>
      <c r="Z32" s="73" t="s">
        <v>324</v>
      </c>
      <c r="AA32" s="73" t="s">
        <v>144</v>
      </c>
      <c r="AB32" s="73" t="s">
        <v>113</v>
      </c>
      <c r="AC32" s="73" t="s">
        <v>185</v>
      </c>
      <c r="AD32" s="73" t="s">
        <v>186</v>
      </c>
      <c r="AE32" s="114" t="s">
        <v>325</v>
      </c>
      <c r="AF32" s="73" t="s">
        <v>273</v>
      </c>
      <c r="AG32" s="73" t="s">
        <v>118</v>
      </c>
      <c r="AH32" s="73" t="s">
        <v>188</v>
      </c>
      <c r="AI32" s="73" t="s">
        <v>189</v>
      </c>
      <c r="AJ32" s="73" t="s">
        <v>326</v>
      </c>
      <c r="AK32" s="73" t="s">
        <v>326</v>
      </c>
      <c r="AL32" s="73" t="s">
        <v>326</v>
      </c>
    </row>
    <row r="33" spans="3:39" ht="16" hidden="1" x14ac:dyDescent="0.2">
      <c r="C33" s="100" t="s">
        <v>344</v>
      </c>
      <c r="D33" s="118" t="s">
        <v>345</v>
      </c>
      <c r="E33" s="98" t="s">
        <v>346</v>
      </c>
      <c r="F33" s="119" t="s">
        <v>135</v>
      </c>
      <c r="G33" s="98" t="s">
        <v>347</v>
      </c>
      <c r="H33" s="120" t="s">
        <v>348</v>
      </c>
      <c r="I33" s="100" t="s">
        <v>349</v>
      </c>
      <c r="J33" s="100" t="s">
        <v>350</v>
      </c>
      <c r="K33" s="100" t="s">
        <v>335</v>
      </c>
      <c r="L33" s="100" t="s">
        <v>174</v>
      </c>
      <c r="M33" s="73" t="s">
        <v>175</v>
      </c>
      <c r="N33" s="73" t="s">
        <v>99</v>
      </c>
      <c r="O33" s="131" t="s">
        <v>336</v>
      </c>
      <c r="P33" s="121" t="s">
        <v>351</v>
      </c>
      <c r="Q33" s="122" t="s">
        <v>68</v>
      </c>
      <c r="R33" s="121" t="s">
        <v>352</v>
      </c>
      <c r="S33" s="121" t="s">
        <v>353</v>
      </c>
      <c r="T33" s="121" t="s">
        <v>180</v>
      </c>
      <c r="U33" s="121" t="s">
        <v>106</v>
      </c>
      <c r="V33" s="122" t="s">
        <v>107</v>
      </c>
      <c r="W33" s="133" t="s">
        <v>354</v>
      </c>
      <c r="X33" s="121" t="s">
        <v>109</v>
      </c>
      <c r="Y33" s="121" t="s">
        <v>110</v>
      </c>
      <c r="Z33" s="121" t="s">
        <v>324</v>
      </c>
      <c r="AA33" s="121" t="s">
        <v>144</v>
      </c>
      <c r="AB33" s="121" t="s">
        <v>113</v>
      </c>
      <c r="AC33" s="100" t="s">
        <v>114</v>
      </c>
      <c r="AD33" s="100" t="s">
        <v>230</v>
      </c>
      <c r="AE33" s="121" t="s">
        <v>355</v>
      </c>
      <c r="AF33" s="123" t="s">
        <v>356</v>
      </c>
      <c r="AG33" s="73" t="s">
        <v>357</v>
      </c>
      <c r="AH33" s="121" t="s">
        <v>188</v>
      </c>
      <c r="AI33" s="121" t="s">
        <v>326</v>
      </c>
      <c r="AJ33" s="121" t="s">
        <v>326</v>
      </c>
      <c r="AK33" s="122" t="s">
        <v>326</v>
      </c>
      <c r="AL33" s="117" t="s">
        <v>326</v>
      </c>
    </row>
    <row r="34" spans="3:39" ht="16" hidden="1" x14ac:dyDescent="0.2">
      <c r="C34" s="100" t="s">
        <v>358</v>
      </c>
      <c r="D34" s="124" t="s">
        <v>359</v>
      </c>
      <c r="E34" s="99" t="s">
        <v>346</v>
      </c>
      <c r="F34" s="129" t="s">
        <v>148</v>
      </c>
      <c r="G34" s="99" t="s">
        <v>347</v>
      </c>
      <c r="H34" s="120" t="s">
        <v>348</v>
      </c>
      <c r="I34" s="73" t="s">
        <v>360</v>
      </c>
      <c r="J34" s="73" t="s">
        <v>68</v>
      </c>
      <c r="K34" s="73" t="s">
        <v>335</v>
      </c>
      <c r="L34" s="73" t="s">
        <v>174</v>
      </c>
      <c r="M34" s="73" t="s">
        <v>175</v>
      </c>
      <c r="N34" s="130" t="s">
        <v>99</v>
      </c>
      <c r="O34" s="132" t="s">
        <v>361</v>
      </c>
      <c r="P34" s="125" t="s">
        <v>351</v>
      </c>
      <c r="Q34" s="126" t="s">
        <v>68</v>
      </c>
      <c r="R34" s="125" t="s">
        <v>352</v>
      </c>
      <c r="S34" s="125"/>
      <c r="T34" s="125" t="s">
        <v>180</v>
      </c>
      <c r="U34" s="125" t="s">
        <v>106</v>
      </c>
      <c r="V34" s="126" t="s">
        <v>107</v>
      </c>
      <c r="W34" s="73"/>
      <c r="X34" s="125" t="s">
        <v>109</v>
      </c>
      <c r="Y34" s="121" t="s">
        <v>110</v>
      </c>
      <c r="Z34" s="121" t="s">
        <v>324</v>
      </c>
      <c r="AA34" s="125"/>
      <c r="AB34" s="125"/>
      <c r="AC34" s="73"/>
      <c r="AD34" s="73"/>
      <c r="AE34" s="125"/>
      <c r="AF34" s="127"/>
      <c r="AG34" s="129"/>
      <c r="AH34" s="125"/>
      <c r="AI34" s="125"/>
      <c r="AJ34" s="125"/>
      <c r="AK34" s="126"/>
    </row>
    <row r="35" spans="3:39" ht="16" hidden="1" x14ac:dyDescent="0.2">
      <c r="C35" s="100" t="s">
        <v>362</v>
      </c>
      <c r="D35" s="124" t="s">
        <v>363</v>
      </c>
      <c r="E35" s="99" t="s">
        <v>364</v>
      </c>
      <c r="F35" s="129" t="s">
        <v>135</v>
      </c>
      <c r="G35" s="98" t="s">
        <v>318</v>
      </c>
      <c r="H35" s="120" t="s">
        <v>319</v>
      </c>
      <c r="I35" s="73" t="s">
        <v>320</v>
      </c>
      <c r="J35" s="73" t="s">
        <v>68</v>
      </c>
      <c r="K35" s="73" t="s">
        <v>112</v>
      </c>
      <c r="L35" s="73" t="s">
        <v>365</v>
      </c>
      <c r="M35" s="73" t="s">
        <v>175</v>
      </c>
      <c r="N35" s="73" t="s">
        <v>99</v>
      </c>
      <c r="O35" s="125" t="s">
        <v>326</v>
      </c>
      <c r="P35" s="125" t="s">
        <v>366</v>
      </c>
      <c r="Q35" s="126" t="s">
        <v>367</v>
      </c>
      <c r="R35" s="125" t="s">
        <v>208</v>
      </c>
      <c r="S35" s="125" t="s">
        <v>368</v>
      </c>
      <c r="T35" s="125" t="s">
        <v>369</v>
      </c>
      <c r="U35" s="125" t="s">
        <v>106</v>
      </c>
      <c r="V35" s="126" t="s">
        <v>370</v>
      </c>
      <c r="W35" s="73" t="s">
        <v>326</v>
      </c>
      <c r="X35" s="125" t="s">
        <v>109</v>
      </c>
      <c r="Y35" s="125" t="s">
        <v>271</v>
      </c>
      <c r="Z35" s="121" t="s">
        <v>371</v>
      </c>
      <c r="AA35" s="125" t="s">
        <v>170</v>
      </c>
      <c r="AB35" s="125" t="s">
        <v>201</v>
      </c>
      <c r="AC35" s="73" t="s">
        <v>114</v>
      </c>
      <c r="AD35" s="73" t="s">
        <v>230</v>
      </c>
      <c r="AE35" s="125" t="s">
        <v>355</v>
      </c>
      <c r="AF35" s="127" t="s">
        <v>273</v>
      </c>
      <c r="AG35" s="73" t="s">
        <v>372</v>
      </c>
      <c r="AH35" s="125" t="s">
        <v>373</v>
      </c>
      <c r="AI35" s="132" t="s">
        <v>167</v>
      </c>
      <c r="AJ35" s="125" t="s">
        <v>374</v>
      </c>
      <c r="AK35" s="126"/>
    </row>
    <row r="36" spans="3:39" ht="16" hidden="1" x14ac:dyDescent="0.2">
      <c r="C36" s="100" t="s">
        <v>375</v>
      </c>
      <c r="D36" s="124" t="s">
        <v>376</v>
      </c>
      <c r="E36" s="99" t="s">
        <v>364</v>
      </c>
      <c r="F36" s="129" t="s">
        <v>148</v>
      </c>
      <c r="G36" s="99" t="s">
        <v>318</v>
      </c>
      <c r="H36" s="120" t="s">
        <v>319</v>
      </c>
      <c r="I36" s="73" t="s">
        <v>320</v>
      </c>
      <c r="J36" s="73" t="s">
        <v>68</v>
      </c>
      <c r="K36" s="73" t="s">
        <v>112</v>
      </c>
      <c r="L36" s="73" t="s">
        <v>365</v>
      </c>
      <c r="M36" s="73" t="s">
        <v>175</v>
      </c>
      <c r="N36" s="130" t="s">
        <v>99</v>
      </c>
      <c r="O36" s="125" t="s">
        <v>326</v>
      </c>
      <c r="P36" s="125" t="s">
        <v>366</v>
      </c>
      <c r="Q36" s="126" t="s">
        <v>367</v>
      </c>
      <c r="R36" s="125" t="s">
        <v>208</v>
      </c>
      <c r="S36" s="125" t="s">
        <v>368</v>
      </c>
      <c r="T36" s="125" t="s">
        <v>369</v>
      </c>
      <c r="U36" s="125" t="s">
        <v>106</v>
      </c>
      <c r="V36" s="126" t="s">
        <v>370</v>
      </c>
      <c r="W36" s="73"/>
      <c r="X36" s="125" t="s">
        <v>109</v>
      </c>
      <c r="Y36" s="125" t="s">
        <v>271</v>
      </c>
      <c r="Z36" s="121" t="s">
        <v>371</v>
      </c>
      <c r="AA36" s="125" t="s">
        <v>170</v>
      </c>
      <c r="AB36" s="125" t="s">
        <v>201</v>
      </c>
      <c r="AC36" s="73" t="s">
        <v>114</v>
      </c>
      <c r="AD36" s="73" t="s">
        <v>230</v>
      </c>
      <c r="AE36" s="125" t="s">
        <v>355</v>
      </c>
      <c r="AF36" s="127" t="s">
        <v>273</v>
      </c>
      <c r="AG36" s="129" t="s">
        <v>372</v>
      </c>
      <c r="AH36" s="125" t="s">
        <v>373</v>
      </c>
      <c r="AI36" s="132" t="s">
        <v>167</v>
      </c>
      <c r="AJ36" s="125" t="s">
        <v>374</v>
      </c>
      <c r="AK36" s="126"/>
    </row>
    <row r="37" spans="3:39" ht="16" hidden="1" x14ac:dyDescent="0.2">
      <c r="C37" s="73"/>
      <c r="D37" s="118" t="s">
        <v>377</v>
      </c>
      <c r="E37" s="98" t="s">
        <v>378</v>
      </c>
      <c r="F37" s="119" t="s">
        <v>135</v>
      </c>
      <c r="G37" s="98" t="s">
        <v>318</v>
      </c>
      <c r="H37" s="120" t="s">
        <v>319</v>
      </c>
      <c r="I37" s="100" t="s">
        <v>366</v>
      </c>
      <c r="J37" s="100" t="s">
        <v>367</v>
      </c>
      <c r="K37" s="100" t="s">
        <v>379</v>
      </c>
      <c r="L37" s="100" t="s">
        <v>365</v>
      </c>
      <c r="M37" s="100" t="s">
        <v>326</v>
      </c>
      <c r="N37" s="73" t="s">
        <v>99</v>
      </c>
      <c r="O37" s="121" t="s">
        <v>380</v>
      </c>
      <c r="P37" s="121" t="s">
        <v>381</v>
      </c>
      <c r="Q37" s="122" t="s">
        <v>68</v>
      </c>
      <c r="R37" s="121" t="s">
        <v>382</v>
      </c>
      <c r="S37" s="121" t="s">
        <v>383</v>
      </c>
      <c r="T37" s="121" t="s">
        <v>180</v>
      </c>
      <c r="U37" s="121" t="s">
        <v>106</v>
      </c>
      <c r="V37" s="73" t="s">
        <v>107</v>
      </c>
      <c r="W37" s="100" t="s">
        <v>326</v>
      </c>
      <c r="X37" s="121" t="s">
        <v>109</v>
      </c>
      <c r="Y37" s="121" t="s">
        <v>110</v>
      </c>
      <c r="Z37" s="121" t="s">
        <v>384</v>
      </c>
      <c r="AA37" s="121" t="s">
        <v>170</v>
      </c>
      <c r="AB37" s="121" t="s">
        <v>113</v>
      </c>
      <c r="AC37" s="100" t="s">
        <v>114</v>
      </c>
      <c r="AD37" s="100" t="s">
        <v>230</v>
      </c>
      <c r="AE37" s="121" t="s">
        <v>355</v>
      </c>
      <c r="AF37" s="123" t="s">
        <v>356</v>
      </c>
      <c r="AG37" s="73" t="s">
        <v>385</v>
      </c>
      <c r="AH37" s="121" t="s">
        <v>386</v>
      </c>
      <c r="AI37" s="121" t="s">
        <v>326</v>
      </c>
      <c r="AJ37" s="121" t="s">
        <v>326</v>
      </c>
      <c r="AK37" s="122" t="s">
        <v>326</v>
      </c>
      <c r="AL37" s="117" t="s">
        <v>326</v>
      </c>
    </row>
    <row r="38" spans="3:39" ht="16" hidden="1" x14ac:dyDescent="0.2">
      <c r="C38" s="100" t="s">
        <v>387</v>
      </c>
      <c r="D38" s="118" t="s">
        <v>388</v>
      </c>
      <c r="E38" s="98" t="s">
        <v>389</v>
      </c>
      <c r="F38" s="119" t="s">
        <v>135</v>
      </c>
      <c r="G38" s="98" t="s">
        <v>318</v>
      </c>
      <c r="H38" s="120" t="s">
        <v>319</v>
      </c>
      <c r="I38" s="100" t="s">
        <v>381</v>
      </c>
      <c r="J38" s="100" t="s">
        <v>68</v>
      </c>
      <c r="K38" s="100" t="s">
        <v>390</v>
      </c>
      <c r="L38" s="100" t="s">
        <v>326</v>
      </c>
      <c r="M38" s="100" t="s">
        <v>326</v>
      </c>
      <c r="N38" s="73" t="s">
        <v>99</v>
      </c>
      <c r="O38" s="121" t="s">
        <v>391</v>
      </c>
      <c r="P38" s="121" t="s">
        <v>392</v>
      </c>
      <c r="Q38" s="122" t="s">
        <v>68</v>
      </c>
      <c r="R38" s="121" t="s">
        <v>393</v>
      </c>
      <c r="S38" s="121" t="s">
        <v>383</v>
      </c>
      <c r="T38" s="121" t="s">
        <v>180</v>
      </c>
      <c r="U38" s="121" t="s">
        <v>106</v>
      </c>
      <c r="V38" s="122" t="s">
        <v>293</v>
      </c>
      <c r="W38" s="100" t="s">
        <v>326</v>
      </c>
      <c r="X38" s="121" t="s">
        <v>394</v>
      </c>
      <c r="Y38" s="121" t="s">
        <v>110</v>
      </c>
      <c r="Z38" s="121" t="s">
        <v>384</v>
      </c>
      <c r="AA38" s="121" t="s">
        <v>112</v>
      </c>
      <c r="AB38" s="121" t="s">
        <v>113</v>
      </c>
      <c r="AC38" s="100" t="s">
        <v>185</v>
      </c>
      <c r="AD38" s="100" t="s">
        <v>186</v>
      </c>
      <c r="AE38" s="121" t="s">
        <v>325</v>
      </c>
      <c r="AF38" s="123" t="s">
        <v>356</v>
      </c>
      <c r="AG38" s="73" t="s">
        <v>395</v>
      </c>
      <c r="AH38" s="121" t="s">
        <v>396</v>
      </c>
      <c r="AI38" s="121" t="s">
        <v>326</v>
      </c>
      <c r="AJ38" s="121" t="s">
        <v>326</v>
      </c>
      <c r="AK38" s="122" t="s">
        <v>326</v>
      </c>
      <c r="AL38" s="117" t="s">
        <v>326</v>
      </c>
    </row>
    <row r="39" spans="3:39" hidden="1" x14ac:dyDescent="0.2">
      <c r="C39" s="92" t="s">
        <v>397</v>
      </c>
      <c r="D39" s="89" t="s">
        <v>398</v>
      </c>
      <c r="E39" s="90" t="s">
        <v>399</v>
      </c>
      <c r="F39" s="91" t="s">
        <v>135</v>
      </c>
      <c r="G39" s="90" t="s">
        <v>347</v>
      </c>
      <c r="H39" s="95" t="s">
        <v>319</v>
      </c>
      <c r="I39" s="92" t="s">
        <v>400</v>
      </c>
      <c r="J39" s="92" t="s">
        <v>68</v>
      </c>
      <c r="K39" s="92" t="s">
        <v>399</v>
      </c>
      <c r="L39" s="92"/>
      <c r="M39" s="92"/>
      <c r="N39" s="3" t="s">
        <v>99</v>
      </c>
      <c r="O39" s="69" t="s">
        <v>401</v>
      </c>
      <c r="P39" s="69" t="s">
        <v>392</v>
      </c>
      <c r="Q39" s="93" t="s">
        <v>68</v>
      </c>
      <c r="R39" s="69" t="s">
        <v>399</v>
      </c>
      <c r="S39" s="69"/>
      <c r="T39" s="69" t="s">
        <v>180</v>
      </c>
      <c r="U39" s="69" t="s">
        <v>106</v>
      </c>
      <c r="V39" s="93"/>
      <c r="W39" s="92"/>
      <c r="X39" s="69"/>
      <c r="Y39" s="69"/>
      <c r="Z39" s="69"/>
      <c r="AA39" s="69"/>
      <c r="AB39" s="69"/>
      <c r="AC39" s="92"/>
      <c r="AD39" s="92"/>
      <c r="AE39" s="69"/>
      <c r="AF39" s="94"/>
      <c r="AG39" s="3"/>
      <c r="AH39" s="69"/>
      <c r="AI39" s="69"/>
      <c r="AJ39" s="69"/>
      <c r="AK39" s="93"/>
      <c r="AL39" s="2" t="s">
        <v>326</v>
      </c>
      <c r="AM39" s="2"/>
    </row>
    <row r="40" spans="3:39" hidden="1" x14ac:dyDescent="0.2">
      <c r="C40" s="92" t="s">
        <v>402</v>
      </c>
      <c r="D40" s="89" t="s">
        <v>403</v>
      </c>
      <c r="E40" s="90" t="s">
        <v>399</v>
      </c>
      <c r="F40" s="91" t="s">
        <v>135</v>
      </c>
      <c r="G40" s="90" t="s">
        <v>347</v>
      </c>
      <c r="H40" s="95" t="s">
        <v>319</v>
      </c>
      <c r="I40" s="92" t="s">
        <v>400</v>
      </c>
      <c r="J40" s="92" t="s">
        <v>68</v>
      </c>
      <c r="K40" s="92" t="s">
        <v>399</v>
      </c>
      <c r="L40" s="92"/>
      <c r="M40" s="92"/>
      <c r="N40" s="3" t="s">
        <v>99</v>
      </c>
      <c r="O40" s="69" t="s">
        <v>401</v>
      </c>
      <c r="P40" s="69" t="s">
        <v>381</v>
      </c>
      <c r="Q40" s="93" t="s">
        <v>68</v>
      </c>
      <c r="R40" s="69" t="s">
        <v>399</v>
      </c>
      <c r="S40" s="69"/>
      <c r="T40" s="69" t="s">
        <v>180</v>
      </c>
      <c r="U40" s="69" t="s">
        <v>106</v>
      </c>
      <c r="V40" s="93"/>
      <c r="W40" s="92"/>
      <c r="X40" s="69"/>
      <c r="Y40" s="69"/>
      <c r="Z40" s="69"/>
      <c r="AA40" s="69"/>
      <c r="AB40" s="69"/>
      <c r="AC40" s="92"/>
      <c r="AD40" s="92"/>
      <c r="AE40" s="69"/>
      <c r="AF40" s="94"/>
      <c r="AG40" s="3"/>
      <c r="AH40" s="69"/>
      <c r="AI40" s="69"/>
      <c r="AJ40" s="69"/>
      <c r="AK40" s="93"/>
      <c r="AL40" s="2" t="s">
        <v>326</v>
      </c>
      <c r="AM40" s="2"/>
    </row>
    <row r="41" spans="3:39" hidden="1" x14ac:dyDescent="0.2">
      <c r="C41" s="92" t="s">
        <v>404</v>
      </c>
      <c r="D41" s="89" t="s">
        <v>405</v>
      </c>
      <c r="E41" s="90"/>
      <c r="F41" s="91"/>
      <c r="G41" s="90" t="s">
        <v>347</v>
      </c>
      <c r="H41" s="95" t="s">
        <v>319</v>
      </c>
      <c r="I41" s="92" t="s">
        <v>400</v>
      </c>
      <c r="J41" s="92" t="s">
        <v>68</v>
      </c>
      <c r="K41" s="92" t="s">
        <v>399</v>
      </c>
      <c r="L41" s="92"/>
      <c r="M41" s="92"/>
      <c r="N41" s="3" t="s">
        <v>99</v>
      </c>
      <c r="O41" s="69" t="s">
        <v>401</v>
      </c>
      <c r="P41" s="69" t="s">
        <v>406</v>
      </c>
      <c r="Q41" s="93"/>
      <c r="R41" s="69" t="s">
        <v>399</v>
      </c>
      <c r="S41" s="69"/>
      <c r="T41" s="69" t="s">
        <v>180</v>
      </c>
      <c r="U41" s="69" t="s">
        <v>106</v>
      </c>
      <c r="V41" s="93"/>
      <c r="W41" s="92"/>
      <c r="X41" s="69"/>
      <c r="Y41" s="69"/>
      <c r="Z41" s="69"/>
      <c r="AA41" s="69"/>
      <c r="AB41" s="69"/>
      <c r="AC41" s="92"/>
      <c r="AD41" s="92"/>
      <c r="AE41" s="69"/>
      <c r="AF41" s="94"/>
      <c r="AG41" s="3"/>
      <c r="AH41" s="69"/>
      <c r="AI41" s="69"/>
      <c r="AJ41" s="69"/>
      <c r="AK41" s="93"/>
      <c r="AL41" s="2" t="s">
        <v>326</v>
      </c>
      <c r="AM41" s="2"/>
    </row>
    <row r="42" spans="3:39" ht="16" hidden="1" x14ac:dyDescent="0.2">
      <c r="C42" s="100" t="s">
        <v>407</v>
      </c>
      <c r="D42" s="118" t="s">
        <v>408</v>
      </c>
      <c r="E42" s="98" t="s">
        <v>409</v>
      </c>
      <c r="F42" s="128" t="s">
        <v>410</v>
      </c>
      <c r="G42" s="98" t="s">
        <v>318</v>
      </c>
      <c r="H42" s="120" t="s">
        <v>319</v>
      </c>
      <c r="I42" s="100" t="s">
        <v>411</v>
      </c>
      <c r="J42" s="100" t="s">
        <v>412</v>
      </c>
      <c r="K42" s="100" t="s">
        <v>413</v>
      </c>
      <c r="L42" s="100" t="s">
        <v>326</v>
      </c>
      <c r="M42" s="100" t="s">
        <v>326</v>
      </c>
      <c r="N42" s="73" t="s">
        <v>99</v>
      </c>
      <c r="O42" s="121" t="s">
        <v>414</v>
      </c>
      <c r="P42" s="121" t="s">
        <v>415</v>
      </c>
      <c r="Q42" s="122" t="s">
        <v>68</v>
      </c>
      <c r="R42" s="121" t="s">
        <v>416</v>
      </c>
      <c r="S42" s="121" t="s">
        <v>417</v>
      </c>
      <c r="T42" s="121" t="s">
        <v>418</v>
      </c>
      <c r="U42" s="121" t="s">
        <v>106</v>
      </c>
      <c r="V42" s="122" t="s">
        <v>419</v>
      </c>
      <c r="W42" s="100" t="s">
        <v>326</v>
      </c>
      <c r="X42" s="121" t="s">
        <v>326</v>
      </c>
      <c r="Y42" s="121" t="s">
        <v>420</v>
      </c>
      <c r="Z42" s="121" t="s">
        <v>326</v>
      </c>
      <c r="AA42" s="121" t="s">
        <v>112</v>
      </c>
      <c r="AB42" s="121" t="s">
        <v>113</v>
      </c>
      <c r="AC42" s="100" t="s">
        <v>185</v>
      </c>
      <c r="AD42" s="100" t="s">
        <v>186</v>
      </c>
      <c r="AE42" s="121" t="s">
        <v>421</v>
      </c>
      <c r="AF42" s="123" t="s">
        <v>422</v>
      </c>
      <c r="AG42" s="73" t="s">
        <v>326</v>
      </c>
      <c r="AH42" s="121" t="s">
        <v>373</v>
      </c>
      <c r="AI42" s="121" t="s">
        <v>326</v>
      </c>
      <c r="AJ42" s="121" t="s">
        <v>326</v>
      </c>
      <c r="AK42" s="122" t="s">
        <v>326</v>
      </c>
      <c r="AL42" s="117" t="s">
        <v>326</v>
      </c>
    </row>
    <row r="43" spans="3:39" ht="32" hidden="1" x14ac:dyDescent="0.2">
      <c r="C43" s="100" t="s">
        <v>423</v>
      </c>
      <c r="D43" s="118" t="s">
        <v>424</v>
      </c>
      <c r="E43" s="98" t="s">
        <v>425</v>
      </c>
      <c r="F43" s="128" t="s">
        <v>410</v>
      </c>
      <c r="G43" s="98" t="s">
        <v>318</v>
      </c>
      <c r="H43" s="120" t="s">
        <v>319</v>
      </c>
      <c r="I43" s="73" t="s">
        <v>426</v>
      </c>
      <c r="J43" s="73" t="s">
        <v>427</v>
      </c>
      <c r="K43" s="100" t="s">
        <v>428</v>
      </c>
      <c r="L43" s="100" t="s">
        <v>174</v>
      </c>
      <c r="M43" s="100" t="s">
        <v>175</v>
      </c>
      <c r="N43" s="73" t="s">
        <v>99</v>
      </c>
      <c r="O43" s="121" t="s">
        <v>429</v>
      </c>
      <c r="P43" s="121" t="s">
        <v>430</v>
      </c>
      <c r="Q43" s="122" t="s">
        <v>68</v>
      </c>
      <c r="R43" s="121" t="s">
        <v>431</v>
      </c>
      <c r="S43" s="121" t="s">
        <v>432</v>
      </c>
      <c r="T43" s="121" t="s">
        <v>180</v>
      </c>
      <c r="U43" s="121" t="s">
        <v>106</v>
      </c>
      <c r="V43" s="122" t="s">
        <v>107</v>
      </c>
      <c r="W43" s="100" t="s">
        <v>326</v>
      </c>
      <c r="X43" s="121" t="s">
        <v>109</v>
      </c>
      <c r="Y43" s="121" t="s">
        <v>110</v>
      </c>
      <c r="Z43" s="121" t="s">
        <v>384</v>
      </c>
      <c r="AA43" s="121" t="s">
        <v>170</v>
      </c>
      <c r="AB43" s="121" t="s">
        <v>113</v>
      </c>
      <c r="AC43" s="100" t="s">
        <v>185</v>
      </c>
      <c r="AD43" s="100" t="s">
        <v>186</v>
      </c>
      <c r="AE43" s="121" t="s">
        <v>325</v>
      </c>
      <c r="AF43" s="123" t="s">
        <v>356</v>
      </c>
      <c r="AG43" s="73" t="s">
        <v>433</v>
      </c>
      <c r="AH43" s="121" t="s">
        <v>396</v>
      </c>
      <c r="AI43" s="121" t="s">
        <v>326</v>
      </c>
      <c r="AJ43" s="121" t="s">
        <v>326</v>
      </c>
      <c r="AK43" s="122" t="s">
        <v>326</v>
      </c>
      <c r="AL43" s="117" t="s">
        <v>326</v>
      </c>
    </row>
    <row r="44" spans="3:39" hidden="1" x14ac:dyDescent="0.2">
      <c r="C44" s="92" t="s">
        <v>434</v>
      </c>
      <c r="D44" s="89" t="s">
        <v>435</v>
      </c>
      <c r="E44" s="90" t="s">
        <v>436</v>
      </c>
      <c r="F44" s="91"/>
      <c r="G44" s="90" t="s">
        <v>347</v>
      </c>
      <c r="H44" s="95" t="s">
        <v>319</v>
      </c>
      <c r="I44" s="92"/>
      <c r="J44" s="92"/>
      <c r="K44" s="92"/>
      <c r="L44" s="92"/>
      <c r="M44" s="92"/>
      <c r="N44" s="3"/>
      <c r="O44" s="69"/>
      <c r="P44" s="69"/>
      <c r="Q44" s="93"/>
      <c r="R44" s="69"/>
      <c r="S44" s="69"/>
      <c r="T44" s="69"/>
      <c r="U44" s="69"/>
      <c r="V44" s="93"/>
      <c r="W44" s="92"/>
      <c r="X44" s="69"/>
      <c r="Y44" s="69"/>
      <c r="Z44" s="69" t="s">
        <v>437</v>
      </c>
      <c r="AA44" s="69"/>
      <c r="AB44" s="69"/>
      <c r="AC44" s="92"/>
      <c r="AD44" s="92"/>
      <c r="AE44" s="69"/>
      <c r="AF44" s="94"/>
      <c r="AG44" s="3"/>
      <c r="AH44" s="69"/>
      <c r="AI44" s="69"/>
      <c r="AJ44" s="69"/>
      <c r="AK44" s="93"/>
      <c r="AL44" s="2" t="s">
        <v>326</v>
      </c>
      <c r="AM44" s="2"/>
    </row>
    <row r="45" spans="3:39" ht="16" hidden="1" x14ac:dyDescent="0.2">
      <c r="C45" s="100" t="s">
        <v>438</v>
      </c>
      <c r="D45" s="118" t="s">
        <v>439</v>
      </c>
      <c r="E45" s="98" t="s">
        <v>440</v>
      </c>
      <c r="F45" s="128" t="s">
        <v>410</v>
      </c>
      <c r="G45" s="98" t="s">
        <v>318</v>
      </c>
      <c r="H45" s="120" t="s">
        <v>319</v>
      </c>
      <c r="I45" s="100" t="s">
        <v>320</v>
      </c>
      <c r="J45" s="100" t="s">
        <v>68</v>
      </c>
      <c r="K45" s="100" t="s">
        <v>441</v>
      </c>
      <c r="L45" s="100" t="s">
        <v>442</v>
      </c>
      <c r="M45" s="100" t="s">
        <v>443</v>
      </c>
      <c r="N45" s="73" t="s">
        <v>99</v>
      </c>
      <c r="O45" s="121" t="s">
        <v>401</v>
      </c>
      <c r="P45" s="121" t="s">
        <v>444</v>
      </c>
      <c r="Q45" s="122" t="s">
        <v>68</v>
      </c>
      <c r="R45" s="121" t="s">
        <v>445</v>
      </c>
      <c r="S45" s="121" t="s">
        <v>326</v>
      </c>
      <c r="T45" s="121" t="s">
        <v>180</v>
      </c>
      <c r="U45" s="121" t="s">
        <v>106</v>
      </c>
      <c r="V45" s="122" t="s">
        <v>107</v>
      </c>
      <c r="W45" s="100" t="s">
        <v>326</v>
      </c>
      <c r="X45" s="121" t="s">
        <v>109</v>
      </c>
      <c r="Y45" s="121" t="s">
        <v>110</v>
      </c>
      <c r="Z45" s="121" t="s">
        <v>384</v>
      </c>
      <c r="AA45" s="121" t="s">
        <v>112</v>
      </c>
      <c r="AB45" s="121" t="s">
        <v>113</v>
      </c>
      <c r="AC45" s="100" t="s">
        <v>114</v>
      </c>
      <c r="AD45" s="100" t="s">
        <v>115</v>
      </c>
      <c r="AE45" s="121" t="s">
        <v>355</v>
      </c>
      <c r="AF45" s="123" t="s">
        <v>356</v>
      </c>
      <c r="AG45" s="73" t="s">
        <v>395</v>
      </c>
      <c r="AH45" s="121" t="s">
        <v>396</v>
      </c>
      <c r="AI45" s="121" t="s">
        <v>326</v>
      </c>
      <c r="AJ45" s="121" t="s">
        <v>326</v>
      </c>
      <c r="AK45" s="122" t="s">
        <v>326</v>
      </c>
      <c r="AL45" s="117" t="s">
        <v>326</v>
      </c>
    </row>
    <row r="46" spans="3:39" ht="16" hidden="1" x14ac:dyDescent="0.2">
      <c r="C46" s="100" t="s">
        <v>446</v>
      </c>
      <c r="D46" s="118" t="s">
        <v>447</v>
      </c>
      <c r="E46" s="98" t="s">
        <v>448</v>
      </c>
      <c r="F46" s="119" t="s">
        <v>135</v>
      </c>
      <c r="G46" s="98" t="s">
        <v>318</v>
      </c>
      <c r="H46" s="120" t="s">
        <v>319</v>
      </c>
      <c r="I46" s="100" t="s">
        <v>320</v>
      </c>
      <c r="J46" s="100" t="s">
        <v>68</v>
      </c>
      <c r="K46" s="100" t="s">
        <v>449</v>
      </c>
      <c r="L46" s="100" t="s">
        <v>326</v>
      </c>
      <c r="M46" s="100" t="s">
        <v>326</v>
      </c>
      <c r="N46" s="73" t="s">
        <v>450</v>
      </c>
      <c r="O46" s="121" t="s">
        <v>326</v>
      </c>
      <c r="P46" s="121" t="s">
        <v>451</v>
      </c>
      <c r="Q46" s="122" t="s">
        <v>452</v>
      </c>
      <c r="R46" s="121" t="s">
        <v>453</v>
      </c>
      <c r="S46" s="121" t="s">
        <v>454</v>
      </c>
      <c r="T46" s="121" t="s">
        <v>209</v>
      </c>
      <c r="U46" s="121" t="s">
        <v>106</v>
      </c>
      <c r="V46" s="122" t="s">
        <v>455</v>
      </c>
      <c r="W46" s="100" t="s">
        <v>326</v>
      </c>
      <c r="X46" s="121" t="s">
        <v>456</v>
      </c>
      <c r="Y46" s="121" t="s">
        <v>182</v>
      </c>
      <c r="Z46" s="121" t="s">
        <v>326</v>
      </c>
      <c r="AA46" s="121" t="s">
        <v>170</v>
      </c>
      <c r="AB46" s="121" t="s">
        <v>113</v>
      </c>
      <c r="AC46" s="100" t="s">
        <v>185</v>
      </c>
      <c r="AD46" s="100" t="s">
        <v>186</v>
      </c>
      <c r="AE46" s="121" t="s">
        <v>457</v>
      </c>
      <c r="AF46" s="123" t="s">
        <v>458</v>
      </c>
      <c r="AG46" s="73" t="s">
        <v>372</v>
      </c>
      <c r="AH46" s="121" t="s">
        <v>373</v>
      </c>
      <c r="AI46" s="121" t="s">
        <v>326</v>
      </c>
      <c r="AJ46" s="121" t="s">
        <v>326</v>
      </c>
      <c r="AK46" s="122" t="s">
        <v>326</v>
      </c>
      <c r="AL46" s="117" t="s">
        <v>326</v>
      </c>
    </row>
    <row r="47" spans="3:39" ht="32" hidden="1" x14ac:dyDescent="0.2">
      <c r="C47" s="100" t="s">
        <v>459</v>
      </c>
      <c r="D47" s="118" t="s">
        <v>460</v>
      </c>
      <c r="E47" s="98" t="s">
        <v>461</v>
      </c>
      <c r="F47" s="119" t="s">
        <v>135</v>
      </c>
      <c r="G47" s="98" t="s">
        <v>318</v>
      </c>
      <c r="H47" s="120" t="s">
        <v>319</v>
      </c>
      <c r="I47" s="100" t="s">
        <v>451</v>
      </c>
      <c r="J47" s="100" t="s">
        <v>452</v>
      </c>
      <c r="K47" s="100" t="s">
        <v>462</v>
      </c>
      <c r="L47" s="100" t="s">
        <v>326</v>
      </c>
      <c r="M47" s="100" t="s">
        <v>326</v>
      </c>
      <c r="N47" s="73" t="s">
        <v>450</v>
      </c>
      <c r="O47" s="121" t="s">
        <v>463</v>
      </c>
      <c r="P47" s="121" t="s">
        <v>464</v>
      </c>
      <c r="Q47" s="122" t="s">
        <v>367</v>
      </c>
      <c r="R47" s="121" t="s">
        <v>465</v>
      </c>
      <c r="S47" s="121" t="s">
        <v>454</v>
      </c>
      <c r="T47" s="121" t="s">
        <v>209</v>
      </c>
      <c r="U47" s="121" t="s">
        <v>106</v>
      </c>
      <c r="V47" s="122" t="s">
        <v>455</v>
      </c>
      <c r="W47" s="100" t="s">
        <v>326</v>
      </c>
      <c r="X47" s="121" t="s">
        <v>456</v>
      </c>
      <c r="Y47" s="121" t="s">
        <v>182</v>
      </c>
      <c r="Z47" s="121" t="s">
        <v>326</v>
      </c>
      <c r="AA47" s="121" t="s">
        <v>170</v>
      </c>
      <c r="AB47" s="121" t="s">
        <v>113</v>
      </c>
      <c r="AC47" s="100" t="s">
        <v>114</v>
      </c>
      <c r="AD47" s="100" t="s">
        <v>242</v>
      </c>
      <c r="AE47" s="121" t="s">
        <v>466</v>
      </c>
      <c r="AF47" s="123" t="s">
        <v>458</v>
      </c>
      <c r="AG47" s="73" t="s">
        <v>372</v>
      </c>
      <c r="AH47" s="121" t="s">
        <v>373</v>
      </c>
      <c r="AI47" s="121" t="s">
        <v>326</v>
      </c>
      <c r="AJ47" s="121" t="s">
        <v>326</v>
      </c>
      <c r="AK47" s="122" t="s">
        <v>467</v>
      </c>
      <c r="AL47" s="117" t="s">
        <v>326</v>
      </c>
    </row>
    <row r="48" spans="3:39" ht="32" hidden="1" x14ac:dyDescent="0.2">
      <c r="C48" s="100" t="s">
        <v>468</v>
      </c>
      <c r="D48" s="118" t="s">
        <v>469</v>
      </c>
      <c r="E48" s="98" t="s">
        <v>470</v>
      </c>
      <c r="F48" s="119" t="s">
        <v>135</v>
      </c>
      <c r="G48" s="98" t="s">
        <v>318</v>
      </c>
      <c r="H48" s="120" t="s">
        <v>319</v>
      </c>
      <c r="I48" s="100" t="s">
        <v>471</v>
      </c>
      <c r="J48" s="100" t="s">
        <v>452</v>
      </c>
      <c r="K48" s="100" t="s">
        <v>472</v>
      </c>
      <c r="L48" s="100" t="s">
        <v>326</v>
      </c>
      <c r="M48" s="100" t="s">
        <v>326</v>
      </c>
      <c r="N48" s="73" t="s">
        <v>450</v>
      </c>
      <c r="O48" s="121" t="s">
        <v>326</v>
      </c>
      <c r="P48" s="121" t="s">
        <v>451</v>
      </c>
      <c r="Q48" s="122" t="s">
        <v>367</v>
      </c>
      <c r="R48" s="121" t="s">
        <v>473</v>
      </c>
      <c r="S48" s="121" t="s">
        <v>474</v>
      </c>
      <c r="T48" s="121" t="s">
        <v>209</v>
      </c>
      <c r="U48" s="121" t="s">
        <v>106</v>
      </c>
      <c r="V48" s="122" t="s">
        <v>455</v>
      </c>
      <c r="W48" s="100" t="s">
        <v>326</v>
      </c>
      <c r="X48" s="121" t="s">
        <v>475</v>
      </c>
      <c r="Y48" s="121" t="s">
        <v>182</v>
      </c>
      <c r="Z48" s="121" t="s">
        <v>326</v>
      </c>
      <c r="AA48" s="121" t="s">
        <v>170</v>
      </c>
      <c r="AB48" s="121" t="s">
        <v>113</v>
      </c>
      <c r="AC48" s="100" t="s">
        <v>185</v>
      </c>
      <c r="AD48" s="100" t="s">
        <v>186</v>
      </c>
      <c r="AE48" s="121" t="s">
        <v>457</v>
      </c>
      <c r="AF48" s="123" t="s">
        <v>458</v>
      </c>
      <c r="AG48" s="73" t="s">
        <v>372</v>
      </c>
      <c r="AH48" s="121" t="s">
        <v>476</v>
      </c>
      <c r="AI48" s="121" t="s">
        <v>326</v>
      </c>
      <c r="AJ48" s="121" t="s">
        <v>326</v>
      </c>
      <c r="AK48" s="122" t="s">
        <v>477</v>
      </c>
      <c r="AL48" s="117" t="s">
        <v>326</v>
      </c>
    </row>
    <row r="49" spans="3:39" ht="16" hidden="1" x14ac:dyDescent="0.2">
      <c r="C49" s="100" t="s">
        <v>478</v>
      </c>
      <c r="D49" s="118" t="s">
        <v>479</v>
      </c>
      <c r="E49" s="98" t="s">
        <v>480</v>
      </c>
      <c r="F49" s="128" t="s">
        <v>410</v>
      </c>
      <c r="G49" s="98" t="s">
        <v>318</v>
      </c>
      <c r="H49" s="120" t="s">
        <v>319</v>
      </c>
      <c r="I49" s="73" t="s">
        <v>426</v>
      </c>
      <c r="J49" s="100" t="s">
        <v>367</v>
      </c>
      <c r="K49" s="100" t="s">
        <v>112</v>
      </c>
      <c r="L49" s="100" t="s">
        <v>240</v>
      </c>
      <c r="M49" s="100" t="s">
        <v>326</v>
      </c>
      <c r="N49" s="73" t="s">
        <v>99</v>
      </c>
      <c r="O49" s="121" t="s">
        <v>401</v>
      </c>
      <c r="P49" s="121" t="s">
        <v>481</v>
      </c>
      <c r="Q49" s="122" t="s">
        <v>482</v>
      </c>
      <c r="R49" s="121" t="s">
        <v>483</v>
      </c>
      <c r="S49" s="121" t="s">
        <v>484</v>
      </c>
      <c r="T49" s="121" t="s">
        <v>180</v>
      </c>
      <c r="U49" s="121" t="s">
        <v>106</v>
      </c>
      <c r="V49" s="122" t="s">
        <v>485</v>
      </c>
      <c r="W49" s="100" t="s">
        <v>326</v>
      </c>
      <c r="X49" s="121" t="s">
        <v>394</v>
      </c>
      <c r="Y49" s="121" t="s">
        <v>486</v>
      </c>
      <c r="Z49" s="121" t="s">
        <v>326</v>
      </c>
      <c r="AA49" s="121" t="s">
        <v>112</v>
      </c>
      <c r="AB49" s="121" t="s">
        <v>487</v>
      </c>
      <c r="AC49" s="100" t="s">
        <v>114</v>
      </c>
      <c r="AD49" s="100" t="s">
        <v>115</v>
      </c>
      <c r="AE49" s="121" t="s">
        <v>355</v>
      </c>
      <c r="AF49" s="123" t="s">
        <v>356</v>
      </c>
      <c r="AG49" s="73" t="s">
        <v>488</v>
      </c>
      <c r="AH49" s="121" t="s">
        <v>373</v>
      </c>
      <c r="AI49" s="121" t="s">
        <v>326</v>
      </c>
      <c r="AJ49" s="121" t="s">
        <v>326</v>
      </c>
      <c r="AK49" s="122" t="s">
        <v>326</v>
      </c>
      <c r="AL49" s="117" t="s">
        <v>326</v>
      </c>
    </row>
    <row r="50" spans="3:39" ht="16" hidden="1" x14ac:dyDescent="0.2">
      <c r="C50" s="100" t="s">
        <v>489</v>
      </c>
      <c r="D50" s="118" t="s">
        <v>490</v>
      </c>
      <c r="E50" s="98" t="s">
        <v>491</v>
      </c>
      <c r="F50" s="128" t="s">
        <v>410</v>
      </c>
      <c r="G50" s="98" t="s">
        <v>318</v>
      </c>
      <c r="H50" s="120" t="s">
        <v>319</v>
      </c>
      <c r="I50" s="100" t="s">
        <v>320</v>
      </c>
      <c r="J50" s="100" t="s">
        <v>68</v>
      </c>
      <c r="K50" s="100" t="s">
        <v>492</v>
      </c>
      <c r="L50" s="100" t="s">
        <v>326</v>
      </c>
      <c r="M50" s="100" t="s">
        <v>326</v>
      </c>
      <c r="N50" s="73" t="s">
        <v>99</v>
      </c>
      <c r="O50" s="121" t="s">
        <v>401</v>
      </c>
      <c r="P50" s="121" t="s">
        <v>493</v>
      </c>
      <c r="Q50" s="122" t="s">
        <v>68</v>
      </c>
      <c r="R50" s="121" t="s">
        <v>494</v>
      </c>
      <c r="S50" s="121" t="s">
        <v>495</v>
      </c>
      <c r="T50" s="121" t="s">
        <v>209</v>
      </c>
      <c r="U50" s="121" t="s">
        <v>106</v>
      </c>
      <c r="V50" s="122" t="s">
        <v>326</v>
      </c>
      <c r="W50" s="133" t="s">
        <v>496</v>
      </c>
      <c r="X50" s="121" t="s">
        <v>283</v>
      </c>
      <c r="Y50" s="121" t="s">
        <v>182</v>
      </c>
      <c r="Z50" s="121" t="s">
        <v>326</v>
      </c>
      <c r="AA50" s="121" t="s">
        <v>112</v>
      </c>
      <c r="AB50" s="121" t="s">
        <v>184</v>
      </c>
      <c r="AC50" s="100" t="s">
        <v>185</v>
      </c>
      <c r="AD50" s="100" t="s">
        <v>186</v>
      </c>
      <c r="AE50" s="121" t="s">
        <v>497</v>
      </c>
      <c r="AF50" s="123" t="s">
        <v>498</v>
      </c>
      <c r="AG50" s="73" t="s">
        <v>395</v>
      </c>
      <c r="AH50" s="121" t="s">
        <v>499</v>
      </c>
      <c r="AI50" s="121" t="s">
        <v>326</v>
      </c>
      <c r="AJ50" s="121" t="s">
        <v>326</v>
      </c>
      <c r="AK50" s="122" t="s">
        <v>326</v>
      </c>
      <c r="AL50" s="117" t="s">
        <v>326</v>
      </c>
    </row>
    <row r="51" spans="3:39" ht="16" hidden="1" x14ac:dyDescent="0.2">
      <c r="C51" s="100"/>
      <c r="D51" s="118" t="s">
        <v>500</v>
      </c>
      <c r="E51" s="98" t="s">
        <v>501</v>
      </c>
      <c r="F51" s="119" t="s">
        <v>135</v>
      </c>
      <c r="G51" s="98" t="s">
        <v>318</v>
      </c>
      <c r="H51" s="120" t="s">
        <v>319</v>
      </c>
      <c r="I51" s="100"/>
      <c r="J51" s="100"/>
      <c r="K51" s="100"/>
      <c r="L51" s="100"/>
      <c r="M51" s="100"/>
      <c r="N51" s="120"/>
      <c r="O51" s="121"/>
      <c r="P51" s="121"/>
      <c r="Q51" s="122"/>
      <c r="R51" s="121"/>
      <c r="S51" s="121"/>
      <c r="T51" s="121"/>
      <c r="U51" s="121"/>
      <c r="V51" s="122"/>
      <c r="W51" s="100"/>
      <c r="X51" s="121"/>
      <c r="Y51" s="121"/>
      <c r="Z51" s="121"/>
      <c r="AA51" s="121"/>
      <c r="AB51" s="121"/>
      <c r="AC51" s="100"/>
      <c r="AD51" s="100"/>
      <c r="AE51" s="121"/>
      <c r="AF51" s="123"/>
      <c r="AG51" s="73"/>
      <c r="AH51" s="73"/>
      <c r="AI51" s="121"/>
      <c r="AJ51" s="121"/>
      <c r="AK51" s="122"/>
    </row>
    <row r="52" spans="3:39" ht="16" hidden="1" x14ac:dyDescent="0.2">
      <c r="C52" s="100"/>
      <c r="D52" s="118" t="s">
        <v>502</v>
      </c>
      <c r="E52" s="98"/>
      <c r="F52" s="119" t="s">
        <v>135</v>
      </c>
      <c r="G52" s="98" t="s">
        <v>318</v>
      </c>
      <c r="H52" s="120" t="s">
        <v>319</v>
      </c>
      <c r="I52" s="100"/>
      <c r="J52" s="100"/>
      <c r="K52" s="100"/>
      <c r="L52" s="100"/>
      <c r="M52" s="100"/>
      <c r="N52" s="120"/>
      <c r="O52" s="121"/>
      <c r="P52" s="121"/>
      <c r="Q52" s="122"/>
      <c r="R52" s="121"/>
      <c r="S52" s="121"/>
      <c r="T52" s="121"/>
      <c r="U52" s="121"/>
      <c r="V52" s="122"/>
      <c r="W52" s="100"/>
      <c r="X52" s="121"/>
      <c r="Y52" s="121"/>
      <c r="Z52" s="121"/>
      <c r="AA52" s="121"/>
      <c r="AB52" s="121"/>
      <c r="AC52" s="100"/>
      <c r="AD52" s="100"/>
      <c r="AE52" s="121"/>
      <c r="AF52" s="123"/>
      <c r="AG52" s="73"/>
      <c r="AH52" s="73"/>
      <c r="AI52" s="121"/>
      <c r="AJ52" s="121"/>
      <c r="AK52" s="122"/>
    </row>
    <row r="53" spans="3:39" x14ac:dyDescent="0.2">
      <c r="C53" s="92"/>
      <c r="D53" s="89" t="s">
        <v>503</v>
      </c>
      <c r="E53" s="90" t="s">
        <v>504</v>
      </c>
      <c r="F53" s="91" t="s">
        <v>135</v>
      </c>
      <c r="G53" s="90" t="s">
        <v>505</v>
      </c>
      <c r="H53" s="95" t="s">
        <v>319</v>
      </c>
      <c r="I53" s="92"/>
      <c r="J53" s="92"/>
      <c r="K53" s="92"/>
      <c r="L53" s="92"/>
      <c r="M53" s="92"/>
      <c r="N53" s="3"/>
      <c r="O53" s="69"/>
      <c r="P53" s="69"/>
      <c r="Q53" s="93"/>
      <c r="R53" s="69"/>
      <c r="S53" s="69"/>
      <c r="T53" s="69"/>
      <c r="U53" s="69"/>
      <c r="V53" s="93"/>
      <c r="W53" s="92"/>
      <c r="X53" s="69"/>
      <c r="Y53" s="69"/>
      <c r="Z53" s="69"/>
      <c r="AA53" s="69"/>
      <c r="AB53" s="69"/>
      <c r="AC53" s="92"/>
      <c r="AD53" s="92"/>
      <c r="AE53" s="69"/>
      <c r="AF53" s="94"/>
      <c r="AG53" s="3"/>
      <c r="AH53" s="3"/>
      <c r="AI53" s="69"/>
      <c r="AJ53" s="69"/>
      <c r="AK53" s="93"/>
      <c r="AL53" s="2" t="s">
        <v>326</v>
      </c>
      <c r="AM53" s="2"/>
    </row>
    <row r="54" spans="3:39" x14ac:dyDescent="0.2">
      <c r="D54" s="89" t="s">
        <v>506</v>
      </c>
      <c r="E54" s="90" t="s">
        <v>504</v>
      </c>
      <c r="F54" s="91" t="s">
        <v>135</v>
      </c>
      <c r="G54" s="90" t="s">
        <v>505</v>
      </c>
      <c r="H54" s="95" t="s">
        <v>319</v>
      </c>
      <c r="I54" s="92"/>
      <c r="J54" s="92"/>
      <c r="K54" s="92"/>
      <c r="L54" s="92"/>
      <c r="M54" s="92"/>
      <c r="N54" s="3"/>
      <c r="O54" s="69"/>
      <c r="P54" s="69"/>
      <c r="Q54" s="93"/>
      <c r="R54" s="69"/>
      <c r="S54" s="69"/>
      <c r="T54" s="69"/>
      <c r="U54" s="69"/>
      <c r="V54" s="93"/>
      <c r="W54" s="97"/>
      <c r="X54" s="69"/>
      <c r="Y54" s="69"/>
      <c r="Z54" s="69"/>
      <c r="AA54" s="69"/>
      <c r="AB54" s="69"/>
      <c r="AC54" s="92"/>
      <c r="AD54" s="92"/>
      <c r="AE54" s="69"/>
      <c r="AF54" s="94"/>
      <c r="AG54" s="3"/>
      <c r="AH54" s="69"/>
      <c r="AI54" s="69"/>
      <c r="AJ54" s="69"/>
      <c r="AK54" s="93"/>
      <c r="AL54" s="2" t="s">
        <v>326</v>
      </c>
      <c r="AM54" s="2"/>
    </row>
    <row r="55" spans="3:39" ht="16" x14ac:dyDescent="0.2">
      <c r="C55" s="117" t="s">
        <v>507</v>
      </c>
      <c r="D55" s="117" t="s">
        <v>508</v>
      </c>
      <c r="E55" s="61" t="s">
        <v>205</v>
      </c>
      <c r="F55" s="117" t="s">
        <v>148</v>
      </c>
      <c r="G55" s="117" t="s">
        <v>509</v>
      </c>
      <c r="I55" s="117" t="s">
        <v>193</v>
      </c>
      <c r="J55" s="117" t="s">
        <v>68</v>
      </c>
      <c r="K55" s="117" t="s">
        <v>510</v>
      </c>
      <c r="L55" s="117" t="s">
        <v>174</v>
      </c>
      <c r="M55" s="117" t="s">
        <v>175</v>
      </c>
      <c r="N55" s="73" t="s">
        <v>99</v>
      </c>
      <c r="O55" s="136" t="s">
        <v>511</v>
      </c>
      <c r="P55" s="117" t="s">
        <v>512</v>
      </c>
      <c r="Q55" s="117" t="s">
        <v>513</v>
      </c>
      <c r="R55" s="117" t="s">
        <v>208</v>
      </c>
      <c r="T55" s="117" t="s">
        <v>180</v>
      </c>
      <c r="U55" s="117" t="s">
        <v>106</v>
      </c>
      <c r="V55" s="117" t="s">
        <v>107</v>
      </c>
      <c r="W55" s="138" t="s">
        <v>514</v>
      </c>
      <c r="X55" s="117" t="s">
        <v>109</v>
      </c>
      <c r="Y55" s="117" t="s">
        <v>110</v>
      </c>
      <c r="Z55" s="54" t="s">
        <v>111</v>
      </c>
      <c r="AA55" s="117" t="s">
        <v>112</v>
      </c>
      <c r="AB55" s="117" t="s">
        <v>113</v>
      </c>
      <c r="AC55" s="117" t="s">
        <v>114</v>
      </c>
      <c r="AD55" s="117" t="s">
        <v>115</v>
      </c>
      <c r="AE55" s="139" t="s">
        <v>355</v>
      </c>
      <c r="AF55" s="54" t="s">
        <v>117</v>
      </c>
      <c r="AG55" s="73" t="s">
        <v>118</v>
      </c>
      <c r="AH55" s="54" t="s">
        <v>119</v>
      </c>
      <c r="AI55" s="136" t="s">
        <v>167</v>
      </c>
      <c r="AJ55" s="117" t="s">
        <v>121</v>
      </c>
    </row>
    <row r="56" spans="3:39" ht="16" x14ac:dyDescent="0.2">
      <c r="C56" s="117" t="s">
        <v>515</v>
      </c>
      <c r="D56" s="73" t="s">
        <v>516</v>
      </c>
      <c r="E56" s="117" t="s">
        <v>173</v>
      </c>
      <c r="F56" s="117" t="s">
        <v>148</v>
      </c>
      <c r="G56" s="117" t="s">
        <v>509</v>
      </c>
      <c r="H56" s="117" t="s">
        <v>246</v>
      </c>
      <c r="I56" s="117" t="s">
        <v>512</v>
      </c>
      <c r="J56" s="117" t="s">
        <v>513</v>
      </c>
      <c r="K56" s="117" t="s">
        <v>510</v>
      </c>
      <c r="L56" s="117" t="s">
        <v>174</v>
      </c>
      <c r="M56" s="117" t="s">
        <v>175</v>
      </c>
      <c r="N56" s="73" t="s">
        <v>99</v>
      </c>
      <c r="O56" s="136" t="s">
        <v>336</v>
      </c>
      <c r="P56" s="117" t="s">
        <v>193</v>
      </c>
      <c r="Q56" s="117" t="s">
        <v>68</v>
      </c>
      <c r="R56" s="117" t="s">
        <v>178</v>
      </c>
      <c r="T56" s="117" t="s">
        <v>180</v>
      </c>
      <c r="U56" s="117" t="s">
        <v>106</v>
      </c>
      <c r="V56" s="117" t="s">
        <v>107</v>
      </c>
      <c r="W56" s="137" t="s">
        <v>517</v>
      </c>
      <c r="X56" s="117" t="s">
        <v>109</v>
      </c>
      <c r="Y56" s="117" t="s">
        <v>110</v>
      </c>
      <c r="Z56" s="54" t="s">
        <v>111</v>
      </c>
      <c r="AA56" s="117" t="s">
        <v>112</v>
      </c>
      <c r="AB56" s="117" t="s">
        <v>113</v>
      </c>
      <c r="AC56" s="117" t="s">
        <v>114</v>
      </c>
      <c r="AD56" s="117" t="s">
        <v>115</v>
      </c>
      <c r="AE56" s="139" t="s">
        <v>355</v>
      </c>
      <c r="AF56" s="54" t="s">
        <v>117</v>
      </c>
      <c r="AG56" s="73" t="s">
        <v>118</v>
      </c>
      <c r="AH56" s="54" t="s">
        <v>119</v>
      </c>
      <c r="AI56" s="136" t="s">
        <v>167</v>
      </c>
      <c r="AJ56" s="117" t="s">
        <v>121</v>
      </c>
    </row>
    <row r="57" spans="3:39" ht="16" x14ac:dyDescent="0.2">
      <c r="C57" s="117" t="s">
        <v>518</v>
      </c>
      <c r="D57" s="73" t="s">
        <v>508</v>
      </c>
      <c r="E57" s="61" t="s">
        <v>205</v>
      </c>
      <c r="F57" s="117" t="s">
        <v>135</v>
      </c>
      <c r="G57" s="117" t="s">
        <v>509</v>
      </c>
      <c r="H57" s="117" t="s">
        <v>246</v>
      </c>
      <c r="I57" s="117" t="s">
        <v>177</v>
      </c>
      <c r="J57" s="117" t="s">
        <v>68</v>
      </c>
      <c r="K57" s="117" t="s">
        <v>510</v>
      </c>
      <c r="L57" s="117" t="s">
        <v>174</v>
      </c>
      <c r="M57" s="117" t="s">
        <v>175</v>
      </c>
      <c r="N57" s="73" t="s">
        <v>99</v>
      </c>
      <c r="O57" s="136" t="s">
        <v>511</v>
      </c>
      <c r="P57" s="117" t="s">
        <v>512</v>
      </c>
      <c r="Q57" s="117" t="s">
        <v>513</v>
      </c>
      <c r="R57" s="117" t="s">
        <v>208</v>
      </c>
      <c r="T57" s="117" t="s">
        <v>180</v>
      </c>
      <c r="U57" s="117" t="s">
        <v>106</v>
      </c>
      <c r="V57" s="117" t="s">
        <v>107</v>
      </c>
      <c r="W57" s="138" t="s">
        <v>514</v>
      </c>
      <c r="X57" s="117" t="s">
        <v>109</v>
      </c>
      <c r="Y57" s="117" t="s">
        <v>110</v>
      </c>
      <c r="Z57" s="54" t="s">
        <v>111</v>
      </c>
      <c r="AA57" s="117" t="s">
        <v>112</v>
      </c>
      <c r="AB57" s="117" t="s">
        <v>113</v>
      </c>
      <c r="AC57" s="117" t="s">
        <v>114</v>
      </c>
      <c r="AD57" s="117" t="s">
        <v>115</v>
      </c>
      <c r="AE57" s="139" t="s">
        <v>355</v>
      </c>
      <c r="AF57" s="54" t="s">
        <v>117</v>
      </c>
      <c r="AG57" s="73" t="s">
        <v>118</v>
      </c>
      <c r="AH57" s="54" t="s">
        <v>119</v>
      </c>
      <c r="AI57" s="136" t="s">
        <v>167</v>
      </c>
      <c r="AJ57" s="117" t="s">
        <v>121</v>
      </c>
    </row>
    <row r="58" spans="3:39" ht="16" x14ac:dyDescent="0.2">
      <c r="C58" s="117" t="s">
        <v>519</v>
      </c>
      <c r="D58" s="73" t="s">
        <v>516</v>
      </c>
      <c r="E58" s="117" t="s">
        <v>173</v>
      </c>
      <c r="F58" s="117" t="s">
        <v>135</v>
      </c>
      <c r="G58" s="117" t="s">
        <v>509</v>
      </c>
      <c r="H58" s="117" t="s">
        <v>246</v>
      </c>
      <c r="I58" s="117" t="s">
        <v>512</v>
      </c>
      <c r="J58" s="117" t="s">
        <v>513</v>
      </c>
      <c r="K58" s="117" t="s">
        <v>510</v>
      </c>
      <c r="L58" s="117" t="s">
        <v>174</v>
      </c>
      <c r="M58" s="117" t="s">
        <v>175</v>
      </c>
      <c r="N58" s="73" t="s">
        <v>99</v>
      </c>
      <c r="O58" s="136" t="s">
        <v>336</v>
      </c>
      <c r="P58" s="117" t="s">
        <v>193</v>
      </c>
      <c r="Q58" s="117" t="s">
        <v>68</v>
      </c>
      <c r="R58" s="117" t="s">
        <v>178</v>
      </c>
      <c r="T58" s="117" t="s">
        <v>180</v>
      </c>
      <c r="U58" s="117" t="s">
        <v>106</v>
      </c>
      <c r="V58" s="117" t="s">
        <v>107</v>
      </c>
      <c r="W58" s="137" t="s">
        <v>517</v>
      </c>
      <c r="X58" s="117" t="s">
        <v>109</v>
      </c>
      <c r="Y58" s="117" t="s">
        <v>110</v>
      </c>
      <c r="Z58" s="54" t="s">
        <v>111</v>
      </c>
      <c r="AA58" s="117" t="s">
        <v>112</v>
      </c>
      <c r="AB58" s="117" t="s">
        <v>113</v>
      </c>
      <c r="AC58" s="117" t="s">
        <v>114</v>
      </c>
      <c r="AD58" s="117" t="s">
        <v>115</v>
      </c>
      <c r="AE58" s="139" t="s">
        <v>355</v>
      </c>
      <c r="AF58" s="54" t="s">
        <v>117</v>
      </c>
      <c r="AG58" s="73" t="s">
        <v>118</v>
      </c>
      <c r="AH58" s="54" t="s">
        <v>119</v>
      </c>
      <c r="AI58" s="136" t="s">
        <v>167</v>
      </c>
      <c r="AJ58" s="117" t="s">
        <v>121</v>
      </c>
    </row>
    <row r="59" spans="3:39" ht="16" x14ac:dyDescent="0.2">
      <c r="D59" s="73" t="s">
        <v>520</v>
      </c>
      <c r="F59" s="117" t="s">
        <v>135</v>
      </c>
      <c r="G59" s="117" t="s">
        <v>505</v>
      </c>
      <c r="H59" s="117" t="s">
        <v>521</v>
      </c>
      <c r="I59" s="117" t="s">
        <v>522</v>
      </c>
      <c r="J59" s="117" t="s">
        <v>350</v>
      </c>
      <c r="P59" s="117" t="s">
        <v>523</v>
      </c>
    </row>
    <row r="60" spans="3:39" ht="16" x14ac:dyDescent="0.2">
      <c r="D60" s="73" t="s">
        <v>524</v>
      </c>
      <c r="F60" s="117" t="s">
        <v>135</v>
      </c>
      <c r="G60" s="117" t="s">
        <v>505</v>
      </c>
      <c r="H60" s="117" t="s">
        <v>521</v>
      </c>
      <c r="I60" s="117" t="s">
        <v>522</v>
      </c>
      <c r="J60" s="117" t="s">
        <v>350</v>
      </c>
    </row>
    <row r="61" spans="3:39" ht="16" x14ac:dyDescent="0.2">
      <c r="D61" s="73" t="s">
        <v>525</v>
      </c>
      <c r="F61" s="117" t="s">
        <v>135</v>
      </c>
      <c r="G61" s="117" t="s">
        <v>505</v>
      </c>
      <c r="H61" s="117" t="s">
        <v>521</v>
      </c>
      <c r="I61" s="117" t="s">
        <v>522</v>
      </c>
      <c r="J61" s="117" t="s">
        <v>350</v>
      </c>
    </row>
    <row r="62" spans="3:39" ht="16" x14ac:dyDescent="0.2">
      <c r="D62" s="73" t="s">
        <v>526</v>
      </c>
      <c r="F62" s="117" t="s">
        <v>135</v>
      </c>
      <c r="G62" s="117" t="s">
        <v>505</v>
      </c>
      <c r="H62" s="117" t="s">
        <v>521</v>
      </c>
      <c r="I62" s="117" t="s">
        <v>527</v>
      </c>
      <c r="J62" s="117" t="s">
        <v>528</v>
      </c>
    </row>
    <row r="63" spans="3:39" ht="16" x14ac:dyDescent="0.2">
      <c r="D63" s="73" t="s">
        <v>529</v>
      </c>
      <c r="F63" s="117" t="s">
        <v>135</v>
      </c>
      <c r="G63" s="117" t="s">
        <v>505</v>
      </c>
      <c r="H63" s="117" t="s">
        <v>521</v>
      </c>
      <c r="I63" s="117" t="s">
        <v>530</v>
      </c>
    </row>
    <row r="64" spans="3:39" ht="16" x14ac:dyDescent="0.2">
      <c r="D64" s="73" t="s">
        <v>531</v>
      </c>
      <c r="F64" s="117" t="s">
        <v>135</v>
      </c>
      <c r="G64" s="117" t="s">
        <v>505</v>
      </c>
      <c r="H64" s="117" t="s">
        <v>521</v>
      </c>
      <c r="I64" s="117" t="s">
        <v>532</v>
      </c>
      <c r="J64" s="117" t="s">
        <v>532</v>
      </c>
    </row>
    <row r="65" spans="4:36" ht="16" x14ac:dyDescent="0.2">
      <c r="D65" s="73" t="s">
        <v>533</v>
      </c>
      <c r="F65" s="117" t="s">
        <v>135</v>
      </c>
      <c r="G65" s="117" t="s">
        <v>505</v>
      </c>
      <c r="H65" s="117" t="s">
        <v>521</v>
      </c>
      <c r="I65" s="117" t="s">
        <v>534</v>
      </c>
      <c r="J65" s="117" t="s">
        <v>532</v>
      </c>
      <c r="Y65" s="117" t="s">
        <v>110</v>
      </c>
      <c r="Z65" s="117" t="s">
        <v>111</v>
      </c>
      <c r="AH65" s="54" t="s">
        <v>119</v>
      </c>
      <c r="AJ65" s="117" t="s">
        <v>121</v>
      </c>
    </row>
    <row r="66" spans="4:36" ht="16" x14ac:dyDescent="0.2">
      <c r="D66" s="73" t="s">
        <v>535</v>
      </c>
      <c r="F66" s="117" t="s">
        <v>135</v>
      </c>
      <c r="G66" s="117" t="s">
        <v>505</v>
      </c>
      <c r="H66" s="117" t="s">
        <v>521</v>
      </c>
      <c r="I66" s="117" t="s">
        <v>536</v>
      </c>
      <c r="Y66" s="117" t="s">
        <v>110</v>
      </c>
      <c r="Z66" s="117" t="s">
        <v>111</v>
      </c>
      <c r="AH66" s="54" t="s">
        <v>119</v>
      </c>
      <c r="AJ66" s="117" t="s">
        <v>121</v>
      </c>
    </row>
    <row r="67" spans="4:36" ht="16" x14ac:dyDescent="0.2">
      <c r="D67" s="73" t="s">
        <v>537</v>
      </c>
      <c r="F67" s="117" t="s">
        <v>135</v>
      </c>
      <c r="H67" s="117" t="s">
        <v>538</v>
      </c>
      <c r="I67" s="117" t="s">
        <v>539</v>
      </c>
      <c r="Y67" s="117" t="s">
        <v>110</v>
      </c>
      <c r="Z67" s="117" t="s">
        <v>111</v>
      </c>
      <c r="AH67" s="54" t="s">
        <v>119</v>
      </c>
      <c r="AJ67" s="117" t="s">
        <v>121</v>
      </c>
    </row>
    <row r="68" spans="4:36" ht="16" x14ac:dyDescent="0.2">
      <c r="D68" s="73" t="s">
        <v>540</v>
      </c>
      <c r="F68" s="117" t="s">
        <v>135</v>
      </c>
      <c r="G68" s="117" t="s">
        <v>541</v>
      </c>
      <c r="H68" s="117" t="s">
        <v>538</v>
      </c>
      <c r="I68" s="117" t="s">
        <v>542</v>
      </c>
      <c r="Y68" s="117" t="s">
        <v>110</v>
      </c>
      <c r="Z68" s="117" t="s">
        <v>111</v>
      </c>
      <c r="AH68" s="54" t="s">
        <v>119</v>
      </c>
      <c r="AJ68" s="117" t="s">
        <v>121</v>
      </c>
    </row>
    <row r="69" spans="4:36" ht="16" x14ac:dyDescent="0.2">
      <c r="D69" s="73" t="s">
        <v>543</v>
      </c>
      <c r="F69" s="117" t="s">
        <v>135</v>
      </c>
      <c r="G69" s="117" t="s">
        <v>347</v>
      </c>
      <c r="H69" s="117" t="s">
        <v>544</v>
      </c>
      <c r="I69" s="117" t="s">
        <v>545</v>
      </c>
      <c r="J69" s="117" t="s">
        <v>528</v>
      </c>
      <c r="Y69" s="117" t="s">
        <v>110</v>
      </c>
      <c r="Z69" s="117" t="s">
        <v>111</v>
      </c>
      <c r="AH69" s="54" t="s">
        <v>119</v>
      </c>
      <c r="AJ69" s="117" t="s">
        <v>121</v>
      </c>
    </row>
    <row r="70" spans="4:36" ht="16" x14ac:dyDescent="0.2">
      <c r="D70" s="73" t="s">
        <v>546</v>
      </c>
      <c r="F70" s="117" t="s">
        <v>135</v>
      </c>
      <c r="G70" s="117" t="s">
        <v>505</v>
      </c>
      <c r="H70" s="117" t="s">
        <v>521</v>
      </c>
      <c r="I70" s="117" t="s">
        <v>536</v>
      </c>
      <c r="Y70" s="117" t="s">
        <v>110</v>
      </c>
      <c r="Z70" s="117" t="s">
        <v>111</v>
      </c>
      <c r="AH70" s="54" t="s">
        <v>119</v>
      </c>
      <c r="AJ70" s="117" t="s">
        <v>121</v>
      </c>
    </row>
    <row r="71" spans="4:36" ht="16" x14ac:dyDescent="0.2">
      <c r="D71" s="73" t="s">
        <v>547</v>
      </c>
      <c r="F71" s="117" t="s">
        <v>135</v>
      </c>
      <c r="G71" s="117" t="s">
        <v>548</v>
      </c>
      <c r="H71" s="117" t="s">
        <v>549</v>
      </c>
      <c r="I71" s="117" t="s">
        <v>550</v>
      </c>
      <c r="Y71" s="117" t="s">
        <v>110</v>
      </c>
      <c r="Z71" s="117" t="s">
        <v>111</v>
      </c>
      <c r="AH71" s="54" t="s">
        <v>119</v>
      </c>
      <c r="AJ71" s="117" t="s">
        <v>121</v>
      </c>
    </row>
    <row r="72" spans="4:36" ht="16" x14ac:dyDescent="0.2">
      <c r="D72" s="73" t="s">
        <v>551</v>
      </c>
      <c r="F72" s="117" t="s">
        <v>135</v>
      </c>
      <c r="G72" s="117" t="s">
        <v>505</v>
      </c>
      <c r="H72" s="117" t="s">
        <v>521</v>
      </c>
      <c r="I72" s="117" t="s">
        <v>536</v>
      </c>
      <c r="Y72" s="117" t="s">
        <v>110</v>
      </c>
      <c r="Z72" s="117" t="s">
        <v>111</v>
      </c>
      <c r="AH72" s="54" t="s">
        <v>119</v>
      </c>
      <c r="AJ72" s="117" t="s">
        <v>121</v>
      </c>
    </row>
    <row r="73" spans="4:36" ht="16" x14ac:dyDescent="0.2">
      <c r="D73" s="73" t="s">
        <v>552</v>
      </c>
      <c r="F73" s="117" t="s">
        <v>148</v>
      </c>
      <c r="G73" s="117" t="s">
        <v>347</v>
      </c>
      <c r="H73" s="117" t="s">
        <v>544</v>
      </c>
      <c r="I73" s="117" t="s">
        <v>534</v>
      </c>
      <c r="Y73" s="117" t="s">
        <v>110</v>
      </c>
      <c r="Z73" s="117" t="s">
        <v>111</v>
      </c>
      <c r="AH73" s="54" t="s">
        <v>119</v>
      </c>
      <c r="AJ73" s="117" t="s">
        <v>121</v>
      </c>
    </row>
    <row r="74" spans="4:36" ht="16" x14ac:dyDescent="0.2">
      <c r="D74" s="73" t="s">
        <v>553</v>
      </c>
      <c r="F74" s="117" t="s">
        <v>148</v>
      </c>
      <c r="G74" s="117" t="s">
        <v>541</v>
      </c>
      <c r="H74" s="117" t="s">
        <v>538</v>
      </c>
      <c r="I74" s="117" t="s">
        <v>542</v>
      </c>
      <c r="Y74" s="117" t="s">
        <v>110</v>
      </c>
      <c r="Z74" s="117" t="s">
        <v>111</v>
      </c>
      <c r="AH74" s="54" t="s">
        <v>119</v>
      </c>
      <c r="AJ74" s="117" t="s">
        <v>121</v>
      </c>
    </row>
    <row r="75" spans="4:36" ht="16" x14ac:dyDescent="0.2">
      <c r="D75" s="73" t="s">
        <v>554</v>
      </c>
      <c r="F75" s="117" t="s">
        <v>92</v>
      </c>
      <c r="G75" s="117" t="s">
        <v>505</v>
      </c>
      <c r="H75" s="117" t="s">
        <v>555</v>
      </c>
      <c r="I75" s="117" t="s">
        <v>556</v>
      </c>
      <c r="J75" s="117" t="s">
        <v>557</v>
      </c>
      <c r="Y75" s="117" t="s">
        <v>110</v>
      </c>
      <c r="Z75" s="117" t="s">
        <v>111</v>
      </c>
      <c r="AH75" s="54" t="s">
        <v>119</v>
      </c>
      <c r="AJ75" s="117" t="s">
        <v>121</v>
      </c>
    </row>
    <row r="76" spans="4:36" ht="16" x14ac:dyDescent="0.2">
      <c r="D76" s="73" t="s">
        <v>558</v>
      </c>
      <c r="F76" s="117" t="s">
        <v>92</v>
      </c>
      <c r="G76" s="117" t="s">
        <v>505</v>
      </c>
      <c r="H76" s="117" t="s">
        <v>555</v>
      </c>
      <c r="I76" s="117" t="s">
        <v>559</v>
      </c>
      <c r="Y76" s="117" t="s">
        <v>110</v>
      </c>
      <c r="Z76" s="117" t="s">
        <v>111</v>
      </c>
      <c r="AH76" s="54" t="s">
        <v>119</v>
      </c>
      <c r="AJ76" s="117" t="s">
        <v>121</v>
      </c>
    </row>
    <row r="77" spans="4:36" ht="16" x14ac:dyDescent="0.2">
      <c r="D77" s="73" t="s">
        <v>560</v>
      </c>
      <c r="F77" s="117" t="s">
        <v>92</v>
      </c>
      <c r="G77" s="117" t="s">
        <v>505</v>
      </c>
      <c r="H77" s="117" t="s">
        <v>555</v>
      </c>
      <c r="I77" s="117" t="s">
        <v>522</v>
      </c>
      <c r="J77" s="117" t="s">
        <v>350</v>
      </c>
      <c r="Y77" s="117" t="s">
        <v>110</v>
      </c>
      <c r="Z77" s="117" t="s">
        <v>111</v>
      </c>
      <c r="AH77" s="54" t="s">
        <v>119</v>
      </c>
      <c r="AJ77" s="117" t="s">
        <v>121</v>
      </c>
    </row>
    <row r="78" spans="4:36" ht="16" x14ac:dyDescent="0.2">
      <c r="D78" s="73" t="s">
        <v>561</v>
      </c>
      <c r="F78" s="117" t="s">
        <v>92</v>
      </c>
      <c r="G78" s="117" t="s">
        <v>347</v>
      </c>
      <c r="H78" s="117" t="s">
        <v>319</v>
      </c>
      <c r="I78" s="117" t="s">
        <v>562</v>
      </c>
      <c r="J78" s="117" t="s">
        <v>528</v>
      </c>
      <c r="Y78" s="117" t="s">
        <v>110</v>
      </c>
      <c r="Z78" s="117" t="s">
        <v>111</v>
      </c>
      <c r="AH78" s="54" t="s">
        <v>119</v>
      </c>
      <c r="AJ78" s="117" t="s">
        <v>121</v>
      </c>
    </row>
    <row r="79" spans="4:36" ht="16" x14ac:dyDescent="0.2">
      <c r="D79" s="73" t="s">
        <v>563</v>
      </c>
      <c r="F79" s="117" t="s">
        <v>92</v>
      </c>
      <c r="G79" s="117" t="s">
        <v>347</v>
      </c>
      <c r="H79" s="117" t="s">
        <v>538</v>
      </c>
      <c r="I79" s="117" t="s">
        <v>564</v>
      </c>
      <c r="J79" s="117" t="s">
        <v>68</v>
      </c>
      <c r="Y79" s="117" t="s">
        <v>110</v>
      </c>
      <c r="Z79" s="117" t="s">
        <v>130</v>
      </c>
      <c r="AH79" s="54" t="s">
        <v>119</v>
      </c>
      <c r="AJ79" s="117" t="s">
        <v>121</v>
      </c>
    </row>
    <row r="80" spans="4:36" ht="16" x14ac:dyDescent="0.2">
      <c r="D80" s="73" t="s">
        <v>565</v>
      </c>
      <c r="F80" s="117" t="s">
        <v>92</v>
      </c>
      <c r="G80" s="117" t="s">
        <v>505</v>
      </c>
      <c r="H80" s="117" t="s">
        <v>555</v>
      </c>
      <c r="I80" s="117" t="s">
        <v>566</v>
      </c>
      <c r="Y80" s="117" t="s">
        <v>110</v>
      </c>
      <c r="Z80" s="117" t="s">
        <v>111</v>
      </c>
      <c r="AH80" s="54" t="s">
        <v>119</v>
      </c>
      <c r="AJ80" s="117" t="s">
        <v>121</v>
      </c>
    </row>
    <row r="81" spans="4:34" ht="16" x14ac:dyDescent="0.2">
      <c r="D81" s="117" t="s">
        <v>567</v>
      </c>
      <c r="E81" s="2" t="s">
        <v>568</v>
      </c>
      <c r="F81" s="117" t="s">
        <v>135</v>
      </c>
      <c r="G81" s="117" t="s">
        <v>505</v>
      </c>
      <c r="H81" s="117" t="s">
        <v>555</v>
      </c>
      <c r="I81" s="117" t="s">
        <v>556</v>
      </c>
      <c r="J81" s="117" t="s">
        <v>557</v>
      </c>
      <c r="K81" s="117" t="s">
        <v>569</v>
      </c>
      <c r="Y81" s="117" t="s">
        <v>110</v>
      </c>
      <c r="Z81" s="117" t="s">
        <v>111</v>
      </c>
      <c r="AH81" s="54"/>
    </row>
    <row r="82" spans="4:34" ht="16" x14ac:dyDescent="0.2">
      <c r="D82" s="117" t="s">
        <v>567</v>
      </c>
      <c r="E82" s="2" t="s">
        <v>570</v>
      </c>
      <c r="F82" s="117" t="s">
        <v>135</v>
      </c>
      <c r="G82" s="117" t="s">
        <v>505</v>
      </c>
      <c r="H82" s="117" t="s">
        <v>555</v>
      </c>
      <c r="I82" s="117" t="s">
        <v>556</v>
      </c>
      <c r="J82" s="117" t="s">
        <v>557</v>
      </c>
      <c r="K82" s="117" t="s">
        <v>571</v>
      </c>
      <c r="Y82" s="117" t="s">
        <v>110</v>
      </c>
      <c r="Z82" s="117" t="s">
        <v>111</v>
      </c>
      <c r="AH82" s="54"/>
    </row>
    <row r="83" spans="4:34" ht="16" x14ac:dyDescent="0.2">
      <c r="D83" s="117" t="s">
        <v>567</v>
      </c>
      <c r="E83" s="2" t="s">
        <v>572</v>
      </c>
      <c r="F83" s="117" t="s">
        <v>135</v>
      </c>
      <c r="G83" s="117" t="s">
        <v>505</v>
      </c>
      <c r="H83" s="117" t="s">
        <v>555</v>
      </c>
      <c r="I83" s="117" t="s">
        <v>556</v>
      </c>
      <c r="J83" s="117" t="s">
        <v>557</v>
      </c>
      <c r="K83" s="117" t="s">
        <v>573</v>
      </c>
      <c r="Y83" s="117" t="s">
        <v>110</v>
      </c>
      <c r="Z83" s="117" t="s">
        <v>111</v>
      </c>
    </row>
    <row r="84" spans="4:34" ht="16" x14ac:dyDescent="0.2">
      <c r="D84" s="117" t="s">
        <v>567</v>
      </c>
      <c r="E84" s="2" t="s">
        <v>574</v>
      </c>
      <c r="F84" s="117" t="s">
        <v>135</v>
      </c>
      <c r="G84" s="117" t="s">
        <v>505</v>
      </c>
      <c r="H84" s="117" t="s">
        <v>555</v>
      </c>
      <c r="I84" s="117" t="s">
        <v>556</v>
      </c>
      <c r="J84" s="117" t="s">
        <v>557</v>
      </c>
      <c r="K84" s="117" t="s">
        <v>575</v>
      </c>
      <c r="Y84" s="117" t="s">
        <v>110</v>
      </c>
      <c r="Z84" s="117" t="s">
        <v>111</v>
      </c>
    </row>
    <row r="85" spans="4:34" ht="16" x14ac:dyDescent="0.2">
      <c r="D85" s="117" t="s">
        <v>576</v>
      </c>
      <c r="E85" s="2" t="s">
        <v>577</v>
      </c>
      <c r="F85" s="117" t="s">
        <v>135</v>
      </c>
      <c r="G85" s="117" t="s">
        <v>505</v>
      </c>
      <c r="H85" s="117" t="s">
        <v>555</v>
      </c>
      <c r="I85" s="117" t="s">
        <v>566</v>
      </c>
      <c r="K85" s="117" t="s">
        <v>578</v>
      </c>
      <c r="W85" s="142" t="s">
        <v>579</v>
      </c>
      <c r="Y85" s="117" t="s">
        <v>110</v>
      </c>
      <c r="Z85" s="117" t="s">
        <v>111</v>
      </c>
    </row>
    <row r="86" spans="4:34" ht="16" x14ac:dyDescent="0.2">
      <c r="D86" s="117" t="s">
        <v>567</v>
      </c>
      <c r="E86" s="2" t="s">
        <v>580</v>
      </c>
      <c r="F86" s="117" t="s">
        <v>135</v>
      </c>
      <c r="K86" s="2" t="s">
        <v>581</v>
      </c>
    </row>
    <row r="87" spans="4:34" x14ac:dyDescent="0.2">
      <c r="D87" s="2" t="s">
        <v>582</v>
      </c>
      <c r="E87" s="2" t="s">
        <v>583</v>
      </c>
    </row>
    <row r="88" spans="4:34" ht="16" x14ac:dyDescent="0.2">
      <c r="D88" s="117" t="s">
        <v>584</v>
      </c>
      <c r="F88" s="117" t="s">
        <v>92</v>
      </c>
      <c r="G88" s="117" t="s">
        <v>548</v>
      </c>
      <c r="H88" s="117" t="s">
        <v>585</v>
      </c>
      <c r="I88" s="117" t="s">
        <v>586</v>
      </c>
      <c r="J88" s="117" t="s">
        <v>587</v>
      </c>
      <c r="K88" s="148"/>
      <c r="N88" s="117" t="s">
        <v>588</v>
      </c>
      <c r="P88" s="117" t="s">
        <v>556</v>
      </c>
      <c r="Q88" s="117" t="s">
        <v>557</v>
      </c>
      <c r="T88" s="117" t="s">
        <v>209</v>
      </c>
      <c r="AC88" s="117" t="s">
        <v>185</v>
      </c>
    </row>
    <row r="89" spans="4:34" ht="16" x14ac:dyDescent="0.2">
      <c r="D89" s="117" t="s">
        <v>589</v>
      </c>
      <c r="E89" s="2" t="s">
        <v>590</v>
      </c>
      <c r="F89" s="117" t="s">
        <v>135</v>
      </c>
      <c r="G89" s="117" t="s">
        <v>505</v>
      </c>
      <c r="H89" s="117" t="s">
        <v>585</v>
      </c>
      <c r="I89" s="117" t="s">
        <v>591</v>
      </c>
      <c r="J89" s="146" t="s">
        <v>592</v>
      </c>
      <c r="K89" s="145" t="s">
        <v>593</v>
      </c>
      <c r="L89" s="147"/>
    </row>
    <row r="90" spans="4:34" ht="16" x14ac:dyDescent="0.2">
      <c r="D90" s="117" t="s">
        <v>594</v>
      </c>
      <c r="E90" s="2" t="s">
        <v>595</v>
      </c>
      <c r="F90" s="117" t="s">
        <v>135</v>
      </c>
      <c r="G90" s="117" t="s">
        <v>505</v>
      </c>
      <c r="H90" s="117" t="s">
        <v>585</v>
      </c>
      <c r="I90" s="117" t="s">
        <v>591</v>
      </c>
      <c r="J90" s="146" t="s">
        <v>592</v>
      </c>
      <c r="K90" s="52" t="s">
        <v>596</v>
      </c>
      <c r="L90" s="147"/>
    </row>
    <row r="91" spans="4:34" ht="16" x14ac:dyDescent="0.2">
      <c r="D91" s="117" t="s">
        <v>597</v>
      </c>
      <c r="E91" s="143" t="s">
        <v>598</v>
      </c>
      <c r="F91" s="117" t="s">
        <v>92</v>
      </c>
      <c r="J91" s="146"/>
      <c r="K91" s="52" t="s">
        <v>599</v>
      </c>
      <c r="L91" s="147"/>
    </row>
    <row r="92" spans="4:34" ht="16" x14ac:dyDescent="0.2">
      <c r="D92" s="143" t="s">
        <v>600</v>
      </c>
      <c r="F92" s="117" t="s">
        <v>92</v>
      </c>
      <c r="J92" s="146"/>
      <c r="K92" s="145" t="s">
        <v>601</v>
      </c>
      <c r="L92" s="147"/>
    </row>
    <row r="93" spans="4:34" ht="16" x14ac:dyDescent="0.2">
      <c r="D93" s="117" t="s">
        <v>602</v>
      </c>
      <c r="F93" s="117" t="s">
        <v>410</v>
      </c>
      <c r="K93" s="144"/>
    </row>
    <row r="94" spans="4:34" ht="16" x14ac:dyDescent="0.2">
      <c r="D94" s="117" t="s">
        <v>603</v>
      </c>
      <c r="F94" s="117" t="s">
        <v>135</v>
      </c>
    </row>
    <row r="95" spans="4:34" ht="16" x14ac:dyDescent="0.2">
      <c r="D95" s="117" t="s">
        <v>604</v>
      </c>
      <c r="F95" s="117" t="s">
        <v>92</v>
      </c>
    </row>
    <row r="96" spans="4:34" ht="16" x14ac:dyDescent="0.2">
      <c r="D96" s="117" t="s">
        <v>605</v>
      </c>
      <c r="F96" s="117" t="s">
        <v>92</v>
      </c>
    </row>
    <row r="97" spans="4:17" x14ac:dyDescent="0.2">
      <c r="D97" s="2" t="s">
        <v>606</v>
      </c>
      <c r="E97" s="2" t="s">
        <v>607</v>
      </c>
    </row>
    <row r="98" spans="4:17" ht="16" x14ac:dyDescent="0.2">
      <c r="D98" s="149" t="s">
        <v>608</v>
      </c>
      <c r="E98" s="149" t="s">
        <v>609</v>
      </c>
      <c r="F98" s="117" t="s">
        <v>135</v>
      </c>
      <c r="G98" s="117" t="s">
        <v>505</v>
      </c>
      <c r="H98" s="117" t="s">
        <v>521</v>
      </c>
      <c r="I98" s="117" t="s">
        <v>522</v>
      </c>
      <c r="J98" s="117" t="s">
        <v>350</v>
      </c>
      <c r="P98" s="117" t="s">
        <v>556</v>
      </c>
      <c r="Q98" s="117" t="s">
        <v>557</v>
      </c>
    </row>
  </sheetData>
  <mergeCells count="6">
    <mergeCell ref="D98:E98"/>
    <mergeCell ref="AF1:AL1"/>
    <mergeCell ref="C1:H1"/>
    <mergeCell ref="R1:Z1"/>
    <mergeCell ref="I1:O1"/>
    <mergeCell ref="P1:Q1"/>
  </mergeCells>
  <phoneticPr fontId="3" type="noConversion"/>
  <dataValidations count="1">
    <dataValidation allowBlank="1" showInputMessage="1" showErrorMessage="1" sqref="AE11:AE12 AE14:AE15 P5 P8:P9 P14:P16 AA20 AI19:AL20 AF19:AG20 AE30 AJ30:AK32 AH29:AI32 AI28:AK28 Z21:Z32 AF21:AF32 AE21:AE28 AH21:AK27 R11:S32 AF11:AF18 AH11:AH19 AE17:AE18 AJ4:AJ18 AK5:AK18 AI10:AI18 Z11:Z18 W59:W84 W5:W54 I4:I87 W86:W1048576 I89:I1048576" xr:uid="{FC9F0E55-6E85-4488-988F-68A202B0E39C}"/>
  </dataValidations>
  <hyperlinks>
    <hyperlink ref="W8" r:id="rId1" xr:uid="{6056FFF6-82E2-486E-8131-806766D47D5E}"/>
    <hyperlink ref="W9" r:id="rId2" xr:uid="{0E7BCB93-A69E-42BB-9838-5C764FD310F4}"/>
    <hyperlink ref="W14" r:id="rId3" xr:uid="{CA35BDA1-DAF6-44B6-B923-0A948E43F545}"/>
    <hyperlink ref="W15" r:id="rId4" xr:uid="{49D35D59-7DBE-4109-A260-7087C3A3FDA2}"/>
    <hyperlink ref="W5" r:id="rId5" xr:uid="{452F6220-2038-4799-8FE1-1F2C080857B2}"/>
    <hyperlink ref="W24" r:id="rId6" display="https://https://api.prd.sng.nl/opentunnel/sng/evoi via http://GRIJ-CEMSH-P01/MessageHandler.svc/xn2" xr:uid="{6150DB49-45C1-461E-8D3A-44768D1FE34F}"/>
    <hyperlink ref="W25" r:id="rId7" xr:uid="{AA6B49CB-B688-4E5C-87FE-DEB3F43C71BC}"/>
    <hyperlink ref="W26" r:id="rId8" xr:uid="{5D835B58-BD71-4CFE-8926-CBB4420CE9C5}"/>
    <hyperlink ref="W27" r:id="rId9" xr:uid="{07C8A334-1021-4061-A1BD-9419C51E672E}"/>
    <hyperlink ref="W22" r:id="rId10" xr:uid="{79F5CBDD-701A-4169-BF77-9754629CE716}"/>
    <hyperlink ref="W21" r:id="rId11" display="https://connect.gemnet.inlichtingenbureau.nl/postkantoor/SOAP/SuwiML -verwijsindex naar https://broker.prd.suwi.net/suwibroker/soap/" xr:uid="{FB5898A9-75FF-4F31-8E8D-D1DD0A94D127}"/>
    <hyperlink ref="W4" r:id="rId12" xr:uid="{D477035E-F4F8-4C1A-BB51-ADA86023C040}"/>
    <hyperlink ref="W6" r:id="rId13" xr:uid="{92B3579B-6A82-410F-8A1F-A0973E38ABE5}"/>
    <hyperlink ref="W7" r:id="rId14" xr:uid="{9A8F04E9-AB56-4936-96A1-43A1A8EB01D5}"/>
    <hyperlink ref="W10" r:id="rId15" xr:uid="{82A481AE-9BCF-4BDD-A833-6D7CBDCF269D}"/>
    <hyperlink ref="W17" r:id="rId16" xr:uid="{F92FACF5-610C-45C3-A178-A142B96DC0A8}"/>
    <hyperlink ref="W18" r:id="rId17" xr:uid="{5AB112E9-E871-4636-B034-7B333DA27657}"/>
    <hyperlink ref="W19" r:id="rId18" xr:uid="{1F6072EF-75D5-4164-9639-78532BEDD21A}"/>
    <hyperlink ref="W20" r:id="rId19" xr:uid="{02FA08F5-6567-4CC7-9C72-C0FDED4953E5}"/>
    <hyperlink ref="W23" r:id="rId20" xr:uid="{CD876827-C342-4D8E-9426-E1CE323B76F8}"/>
    <hyperlink ref="W30" r:id="rId21" xr:uid="{E3413017-40B9-41A1-A3D4-F61C29EC1DA8}"/>
    <hyperlink ref="W29" r:id="rId22" xr:uid="{5ACD72B7-BA93-4E29-92FB-8A2972F02249}"/>
    <hyperlink ref="W32" r:id="rId23" xr:uid="{0691603F-50B7-4297-B99A-4B1AC8BD795A}"/>
    <hyperlink ref="W31" r:id="rId24" xr:uid="{A8ED17F2-08A0-4889-9D5A-5A83EA429DD0}"/>
    <hyperlink ref="W33" r:id="rId25" xr:uid="{15FB938B-A335-4EFB-B91E-8896211B9650}"/>
    <hyperlink ref="W55" r:id="rId26" xr:uid="{2D3A5FB7-8B18-46AE-841B-B6819F8FE937}"/>
    <hyperlink ref="W56" r:id="rId27" xr:uid="{48B0BB2B-F55D-44D2-81D4-F6C7AE7B9091}"/>
    <hyperlink ref="W57" r:id="rId28" xr:uid="{BF0EC6A1-7B08-46DA-8A90-9D468C25F2C3}"/>
    <hyperlink ref="W58" r:id="rId29" xr:uid="{D38349B4-CF68-475C-A24F-7C91EE560624}"/>
    <hyperlink ref="W50" r:id="rId30" xr:uid="{5AB28C15-4BF5-4B6B-9420-E61BC41BD496}"/>
    <hyperlink ref="K92" r:id="rId31" xr:uid="{849567E0-AF64-49DB-8646-AA48056F01BC}"/>
    <hyperlink ref="K89" r:id="rId32" display=" PF_Recreatex_Financials_verwerk_ recordfile_naar_input_request" xr:uid="{0070AEDD-579A-4C8A-A5BD-98F0ED023CDD}"/>
  </hyperlinks>
  <pageMargins left="0.7" right="0.7" top="0.75" bottom="0.75" header="0.3" footer="0.3"/>
  <pageSetup paperSize="9" orientation="portrait" r:id="rId33"/>
  <tableParts count="1">
    <tablePart r:id="rId34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errorStyle="warning" allowBlank="1" showInputMessage="1" showErrorMessage="1" xr:uid="{3E51B891-CF91-4429-ABAB-CEB50459704D}">
          <x14:formula1>
            <xm:f>WAARDEN!$F$5:$F$10</xm:f>
          </x14:formula1>
          <xm:sqref>F4:F10 F16:F1048576</xm:sqref>
        </x14:dataValidation>
        <x14:dataValidation type="list" allowBlank="1" showInputMessage="1" showErrorMessage="1" xr:uid="{DDD60877-0312-4E3B-BCC2-316D56699716}">
          <x14:formula1>
            <xm:f>WAARDEN!$V$5:$V$12</xm:f>
          </x14:formula1>
          <xm:sqref>W4 V4:V1048576</xm:sqref>
        </x14:dataValidation>
        <x14:dataValidation type="list" allowBlank="1" showInputMessage="1" showErrorMessage="1" xr:uid="{964B68C5-CA95-4C27-A49B-B0A970F76408}">
          <x14:formula1>
            <xm:f>WAARDEN!$AC$5:$AC$7</xm:f>
          </x14:formula1>
          <xm:sqref>AD20 AC4:AC18 AC21:AC1048576</xm:sqref>
        </x14:dataValidation>
        <x14:dataValidation type="list" allowBlank="1" showInputMessage="1" showErrorMessage="1" xr:uid="{356B8BF5-D88A-45EA-8FA8-46A13F96821A}">
          <x14:formula1>
            <xm:f>WAARDEN!$AB$5:$AB$12</xm:f>
          </x14:formula1>
          <xm:sqref>AC19:AC20 AB4:AB18 AB21:AB1048576</xm:sqref>
        </x14:dataValidation>
        <x14:dataValidation type="list" allowBlank="1" showInputMessage="1" showErrorMessage="1" xr:uid="{83C1658C-3AE7-42EA-BCF3-C288CEC9B269}">
          <x14:formula1>
            <xm:f>WAARDEN!$AL$5:$AL$7</xm:f>
          </x14:formula1>
          <xm:sqref>AM19:AM20 AL21:AL27 AL4:AL18 AL30:AL1048576</xm:sqref>
        </x14:dataValidation>
        <x14:dataValidation type="list" allowBlank="1" showInputMessage="1" showErrorMessage="1" xr:uid="{10FD2DD4-83E8-4014-9718-61ECB1614FD0}">
          <x14:formula1>
            <xm:f>WAARDEN!$AD$5:$AD$8</xm:f>
          </x14:formula1>
          <xm:sqref>AE19:AE20 AD4:AD19 AD21:AD1048576</xm:sqref>
        </x14:dataValidation>
        <x14:dataValidation type="list" allowBlank="1" showInputMessage="1" showErrorMessage="1" xr:uid="{C5C8BFA7-1BB6-4492-8E43-33B963B57C67}">
          <x14:formula1>
            <xm:f>WAARDEN!$L$5:$L$28</xm:f>
          </x14:formula1>
          <xm:sqref>L11:L1048576</xm:sqref>
        </x14:dataValidation>
        <x14:dataValidation type="list" allowBlank="1" showInputMessage="1" showErrorMessage="1" xr:uid="{7638B7EB-4B51-48FA-B611-27FD0D104047}">
          <x14:formula1>
            <xm:f>WAARDEN!$G$5:$G$14</xm:f>
          </x14:formula1>
          <xm:sqref>G4:G1048576</xm:sqref>
        </x14:dataValidation>
        <x14:dataValidation type="list" allowBlank="1" showInputMessage="1" showErrorMessage="1" xr:uid="{5E8CCE02-8521-4DB5-9764-0EA332572FDE}">
          <x14:formula1>
            <xm:f>WAARDEN!$H$5:$H$32</xm:f>
          </x14:formula1>
          <xm:sqref>H4:H1048576</xm:sqref>
        </x14:dataValidation>
        <x14:dataValidation type="list" allowBlank="1" showInputMessage="1" showErrorMessage="1" xr:uid="{FA691E98-4826-418D-B3C0-B5F9735DEBA8}">
          <x14:formula1>
            <xm:f>WAARDEN!$U$5:$U$7</xm:f>
          </x14:formula1>
          <xm:sqref>U4:U1048576</xm:sqref>
        </x14:dataValidation>
        <x14:dataValidation type="list" allowBlank="1" showInputMessage="1" showErrorMessage="1" xr:uid="{E64DDE04-4488-4A88-B692-798F441C728B}">
          <x14:formula1>
            <xm:f>WAARDEN!$X$5:$X$12</xm:f>
          </x14:formula1>
          <xm:sqref>X4:X1048576</xm:sqref>
        </x14:dataValidation>
        <x14:dataValidation type="list" allowBlank="1" showInputMessage="1" showErrorMessage="1" xr:uid="{4C927FB1-68CE-4795-9382-955C565A85EB}">
          <x14:formula1>
            <xm:f>WAARDEN!$AA$5:$AA$8</xm:f>
          </x14:formula1>
          <xm:sqref>AA4:AA1048576</xm:sqref>
        </x14:dataValidation>
        <x14:dataValidation type="list" allowBlank="1" showInputMessage="1" showErrorMessage="1" xr:uid="{8843F7F9-9A3A-4B86-8948-6347ACD67A5A}">
          <x14:formula1>
            <xm:f>WAARDEN!$T$5:$T$14</xm:f>
          </x14:formula1>
          <xm:sqref>T4:T1048576</xm:sqref>
        </x14:dataValidation>
        <x14:dataValidation type="list" allowBlank="1" showInputMessage="1" showErrorMessage="1" xr:uid="{6C626443-9052-40F3-940A-0EFF7D864328}">
          <x14:formula1>
            <xm:f>WAARDEN!$Y$5:$Y$10</xm:f>
          </x14:formula1>
          <xm:sqref>Y4:Y1048576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8AFB-959B-4250-9FB6-E65C9F0A3918}">
  <dimension ref="B1:E15"/>
  <sheetViews>
    <sheetView showGridLines="0" workbookViewId="0">
      <selection activeCell="B10" sqref="B10"/>
    </sheetView>
  </sheetViews>
  <sheetFormatPr baseColWidth="10" defaultColWidth="8.83203125" defaultRowHeight="15" x14ac:dyDescent="0.2"/>
  <cols>
    <col min="1" max="1" width="3.6640625" customWidth="1"/>
    <col min="2" max="2" width="22.5" customWidth="1"/>
    <col min="3" max="3" width="19.5" customWidth="1"/>
    <col min="4" max="4" width="38.83203125" bestFit="1" customWidth="1"/>
    <col min="5" max="5" width="14.5" customWidth="1"/>
    <col min="6" max="6" width="3.83203125" customWidth="1"/>
  </cols>
  <sheetData>
    <row r="1" spans="2:5" ht="19.5" customHeight="1" x14ac:dyDescent="0.2">
      <c r="B1" s="157" t="s">
        <v>610</v>
      </c>
      <c r="C1" s="158"/>
      <c r="D1" s="158"/>
      <c r="E1" s="159"/>
    </row>
    <row r="2" spans="2:5" x14ac:dyDescent="0.2">
      <c r="B2" s="156" t="s">
        <v>611</v>
      </c>
      <c r="C2" s="156"/>
      <c r="D2" s="156"/>
      <c r="E2" s="156"/>
    </row>
    <row r="3" spans="2:5" x14ac:dyDescent="0.2">
      <c r="B3" s="135" t="s">
        <v>612</v>
      </c>
      <c r="C3" s="135" t="s">
        <v>613</v>
      </c>
      <c r="D3" s="135" t="s">
        <v>614</v>
      </c>
      <c r="E3" s="135" t="s">
        <v>615</v>
      </c>
    </row>
    <row r="4" spans="2:5" x14ac:dyDescent="0.2">
      <c r="B4" s="8" t="s">
        <v>616</v>
      </c>
      <c r="C4" s="8" t="s">
        <v>617</v>
      </c>
      <c r="D4" s="8" t="s">
        <v>618</v>
      </c>
      <c r="E4" s="8" t="s">
        <v>619</v>
      </c>
    </row>
    <row r="5" spans="2:5" x14ac:dyDescent="0.2">
      <c r="B5" s="8" t="s">
        <v>620</v>
      </c>
      <c r="C5" s="8" t="s">
        <v>621</v>
      </c>
      <c r="D5" s="8" t="s">
        <v>622</v>
      </c>
      <c r="E5" s="8" t="s">
        <v>619</v>
      </c>
    </row>
    <row r="6" spans="2:5" ht="80" x14ac:dyDescent="0.2">
      <c r="B6" s="8" t="s">
        <v>623</v>
      </c>
      <c r="C6" s="8" t="s">
        <v>624</v>
      </c>
      <c r="D6" s="134" t="s">
        <v>625</v>
      </c>
      <c r="E6" s="8" t="s">
        <v>68</v>
      </c>
    </row>
    <row r="7" spans="2:5" x14ac:dyDescent="0.2">
      <c r="B7" s="8" t="s">
        <v>626</v>
      </c>
      <c r="C7" s="8" t="s">
        <v>624</v>
      </c>
      <c r="D7" s="8" t="s">
        <v>627</v>
      </c>
      <c r="E7" s="8" t="s">
        <v>68</v>
      </c>
    </row>
    <row r="8" spans="2:5" x14ac:dyDescent="0.2">
      <c r="B8" s="8" t="s">
        <v>564</v>
      </c>
      <c r="C8" s="8" t="s">
        <v>624</v>
      </c>
      <c r="D8" s="8" t="s">
        <v>628</v>
      </c>
      <c r="E8" s="8" t="s">
        <v>68</v>
      </c>
    </row>
    <row r="9" spans="2:5" x14ac:dyDescent="0.2">
      <c r="B9" s="8" t="s">
        <v>139</v>
      </c>
      <c r="C9" s="8" t="s">
        <v>621</v>
      </c>
      <c r="D9" s="8" t="s">
        <v>629</v>
      </c>
      <c r="E9" s="8" t="s">
        <v>140</v>
      </c>
    </row>
    <row r="10" spans="2:5" x14ac:dyDescent="0.2">
      <c r="B10" s="8" t="s">
        <v>630</v>
      </c>
      <c r="C10" s="8" t="s">
        <v>624</v>
      </c>
      <c r="D10" s="8" t="s">
        <v>631</v>
      </c>
      <c r="E10" s="8" t="s">
        <v>619</v>
      </c>
    </row>
    <row r="11" spans="2:5" x14ac:dyDescent="0.2">
      <c r="B11" s="8" t="s">
        <v>272</v>
      </c>
      <c r="C11" s="8" t="s">
        <v>624</v>
      </c>
      <c r="D11" s="8" t="s">
        <v>632</v>
      </c>
      <c r="E11" s="8" t="s">
        <v>68</v>
      </c>
    </row>
    <row r="12" spans="2:5" x14ac:dyDescent="0.2">
      <c r="B12" s="8" t="s">
        <v>633</v>
      </c>
      <c r="C12" s="8" t="s">
        <v>624</v>
      </c>
      <c r="D12" s="8" t="s">
        <v>634</v>
      </c>
      <c r="E12" s="8" t="s">
        <v>619</v>
      </c>
    </row>
    <row r="13" spans="2:5" x14ac:dyDescent="0.2">
      <c r="B13" s="21" t="s">
        <v>635</v>
      </c>
      <c r="C13" s="21" t="s">
        <v>621</v>
      </c>
      <c r="D13" s="21" t="s">
        <v>636</v>
      </c>
      <c r="E13" s="21" t="s">
        <v>637</v>
      </c>
    </row>
    <row r="14" spans="2:5" x14ac:dyDescent="0.2">
      <c r="B14" s="8" t="s">
        <v>437</v>
      </c>
      <c r="C14" s="8" t="s">
        <v>624</v>
      </c>
      <c r="D14" s="8" t="s">
        <v>638</v>
      </c>
      <c r="E14" s="8" t="s">
        <v>68</v>
      </c>
    </row>
    <row r="15" spans="2:5" x14ac:dyDescent="0.2">
      <c r="B15" s="21"/>
      <c r="C15" s="21"/>
      <c r="D15" s="21"/>
      <c r="E15" s="21"/>
    </row>
  </sheetData>
  <autoFilter ref="B3:E3" xr:uid="{5E978AFB-959B-4250-9FB6-E65C9F0A3918}"/>
  <mergeCells count="2">
    <mergeCell ref="B2:E2"/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440D-A012-436E-ADA4-F6C2B30120F6}">
  <dimension ref="B2:H7"/>
  <sheetViews>
    <sheetView showGridLines="0" zoomScale="85" zoomScaleNormal="85" workbookViewId="0">
      <selection activeCell="C97" sqref="C97"/>
    </sheetView>
  </sheetViews>
  <sheetFormatPr baseColWidth="10" defaultColWidth="8.83203125" defaultRowHeight="15" x14ac:dyDescent="0.2"/>
  <cols>
    <col min="1" max="1" width="4" customWidth="1"/>
    <col min="2" max="2" width="38.6640625" bestFit="1" customWidth="1"/>
    <col min="3" max="3" width="18.33203125" bestFit="1" customWidth="1"/>
    <col min="4" max="4" width="6.33203125" bestFit="1" customWidth="1"/>
    <col min="5" max="5" width="14.5" bestFit="1" customWidth="1"/>
    <col min="6" max="6" width="37.83203125" bestFit="1" customWidth="1"/>
    <col min="7" max="7" width="38.83203125" bestFit="1" customWidth="1"/>
    <col min="8" max="8" width="13.33203125" bestFit="1" customWidth="1"/>
  </cols>
  <sheetData>
    <row r="2" spans="2:8" x14ac:dyDescent="0.2">
      <c r="B2" s="9" t="s">
        <v>639</v>
      </c>
    </row>
    <row r="4" spans="2:8" x14ac:dyDescent="0.2">
      <c r="B4" s="10" t="s">
        <v>640</v>
      </c>
      <c r="C4" s="10" t="s">
        <v>641</v>
      </c>
      <c r="D4" s="10" t="s">
        <v>642</v>
      </c>
      <c r="E4" s="10" t="s">
        <v>643</v>
      </c>
      <c r="F4" s="10" t="s">
        <v>644</v>
      </c>
      <c r="G4" s="10" t="s">
        <v>645</v>
      </c>
      <c r="H4" s="10" t="s">
        <v>646</v>
      </c>
    </row>
    <row r="5" spans="2:8" x14ac:dyDescent="0.2">
      <c r="B5" s="8" t="s">
        <v>647</v>
      </c>
      <c r="C5" s="8" t="s">
        <v>648</v>
      </c>
      <c r="D5" s="8"/>
      <c r="E5" s="8"/>
      <c r="F5" s="8" t="s">
        <v>649</v>
      </c>
      <c r="G5" s="8" t="s">
        <v>650</v>
      </c>
      <c r="H5" s="8"/>
    </row>
    <row r="6" spans="2:8" x14ac:dyDescent="0.2">
      <c r="B6" s="8" t="s">
        <v>651</v>
      </c>
      <c r="C6" s="8" t="s">
        <v>648</v>
      </c>
      <c r="D6" s="8"/>
      <c r="E6" s="8"/>
      <c r="F6" s="8" t="s">
        <v>652</v>
      </c>
      <c r="G6" s="8" t="s">
        <v>653</v>
      </c>
      <c r="H6" s="8"/>
    </row>
    <row r="7" spans="2:8" x14ac:dyDescent="0.2">
      <c r="B7" s="8" t="s">
        <v>654</v>
      </c>
      <c r="C7" s="8" t="s">
        <v>648</v>
      </c>
      <c r="D7" s="8"/>
      <c r="E7" s="8"/>
      <c r="F7" s="8" t="s">
        <v>655</v>
      </c>
      <c r="G7" s="8" t="s">
        <v>656</v>
      </c>
      <c r="H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AC81-E839-4D61-ABD6-F913BD9C2FE2}">
  <sheetPr>
    <pageSetUpPr fitToPage="1"/>
  </sheetPr>
  <dimension ref="A1:AL33"/>
  <sheetViews>
    <sheetView showGridLines="0" topLeftCell="R2" zoomScale="85" zoomScaleNormal="85" workbookViewId="0">
      <selection activeCell="Y11" sqref="Y11"/>
    </sheetView>
  </sheetViews>
  <sheetFormatPr baseColWidth="10" defaultColWidth="8.83203125" defaultRowHeight="15" x14ac:dyDescent="0.2"/>
  <cols>
    <col min="1" max="1" width="8.6640625" hidden="1" customWidth="1"/>
    <col min="2" max="2" width="36.33203125" hidden="1" customWidth="1"/>
    <col min="3" max="3" width="26.1640625" hidden="1" customWidth="1"/>
    <col min="4" max="4" width="30.5" hidden="1" customWidth="1"/>
    <col min="5" max="5" width="38.1640625" hidden="1" customWidth="1"/>
    <col min="6" max="6" width="23.1640625" bestFit="1" customWidth="1"/>
    <col min="7" max="7" width="19.6640625" customWidth="1"/>
    <col min="8" max="8" width="36.5" bestFit="1" customWidth="1"/>
    <col min="9" max="9" width="14.5" customWidth="1"/>
    <col min="10" max="10" width="18.5" customWidth="1"/>
    <col min="11" max="11" width="27.6640625" customWidth="1"/>
    <col min="12" max="12" width="35.33203125" bestFit="1" customWidth="1"/>
    <col min="13" max="13" width="23.5" customWidth="1"/>
    <col min="14" max="14" width="18.5" customWidth="1"/>
    <col min="15" max="15" width="16.83203125" customWidth="1"/>
    <col min="16" max="16" width="31.6640625" customWidth="1"/>
    <col min="17" max="17" width="20.33203125" customWidth="1"/>
    <col min="18" max="18" width="41.5" customWidth="1"/>
    <col min="19" max="19" width="26.6640625" customWidth="1"/>
    <col min="20" max="20" width="41.5" bestFit="1" customWidth="1"/>
    <col min="21" max="21" width="53.5" bestFit="1" customWidth="1"/>
    <col min="22" max="22" width="66.5" bestFit="1" customWidth="1"/>
    <col min="23" max="23" width="66.5" customWidth="1"/>
    <col min="24" max="24" width="42.5" bestFit="1" customWidth="1"/>
    <col min="25" max="25" width="40.1640625" bestFit="1" customWidth="1"/>
    <col min="26" max="26" width="21.5" customWidth="1"/>
    <col min="27" max="27" width="27" bestFit="1" customWidth="1"/>
    <col min="28" max="28" width="22" bestFit="1" customWidth="1"/>
    <col min="29" max="30" width="22" customWidth="1"/>
    <col min="31" max="31" width="26.33203125" customWidth="1"/>
    <col min="32" max="32" width="30.1640625" customWidth="1"/>
    <col min="33" max="33" width="24.6640625" customWidth="1"/>
    <col min="34" max="34" width="20.83203125" customWidth="1"/>
    <col min="35" max="35" width="20.5" customWidth="1"/>
    <col min="36" max="36" width="29.83203125" customWidth="1"/>
    <col min="37" max="37" width="32.5" customWidth="1"/>
    <col min="38" max="38" width="27.6640625" customWidth="1"/>
    <col min="39" max="39" width="35.33203125" bestFit="1" customWidth="1"/>
    <col min="40" max="40" width="27.1640625" bestFit="1" customWidth="1"/>
  </cols>
  <sheetData>
    <row r="1" spans="1:38" s="22" customFormat="1" x14ac:dyDescent="0.2">
      <c r="A1" s="39" t="s">
        <v>657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6" x14ac:dyDescent="0.2">
      <c r="B2" s="31" t="s">
        <v>14</v>
      </c>
      <c r="C2" s="24" t="s">
        <v>16</v>
      </c>
      <c r="D2" s="17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24" t="s">
        <v>22</v>
      </c>
      <c r="J2" s="17" t="s">
        <v>23</v>
      </c>
      <c r="K2" s="17" t="s">
        <v>24</v>
      </c>
      <c r="L2" s="17" t="s">
        <v>25</v>
      </c>
      <c r="M2" s="17" t="s">
        <v>26</v>
      </c>
      <c r="N2" s="24" t="s">
        <v>27</v>
      </c>
      <c r="O2" s="17" t="s">
        <v>28</v>
      </c>
      <c r="P2" s="17" t="s">
        <v>29</v>
      </c>
      <c r="Q2" s="25" t="s">
        <v>30</v>
      </c>
      <c r="R2" s="17" t="s">
        <v>31</v>
      </c>
      <c r="S2" s="17" t="s">
        <v>32</v>
      </c>
      <c r="T2" s="17" t="s">
        <v>33</v>
      </c>
      <c r="U2" s="17" t="s">
        <v>34</v>
      </c>
      <c r="V2" s="17" t="s">
        <v>35</v>
      </c>
      <c r="W2" s="17" t="s">
        <v>36</v>
      </c>
      <c r="X2" s="17" t="s">
        <v>37</v>
      </c>
      <c r="Y2" s="16" t="s">
        <v>38</v>
      </c>
      <c r="Z2" s="17" t="s">
        <v>39</v>
      </c>
      <c r="AA2" s="16" t="s">
        <v>40</v>
      </c>
      <c r="AB2" s="16" t="s">
        <v>41</v>
      </c>
      <c r="AC2" s="50" t="s">
        <v>42</v>
      </c>
      <c r="AD2" s="50" t="s">
        <v>658</v>
      </c>
      <c r="AE2" s="16" t="s">
        <v>44</v>
      </c>
      <c r="AF2" s="16" t="s">
        <v>45</v>
      </c>
      <c r="AG2" s="16" t="s">
        <v>46</v>
      </c>
      <c r="AH2" s="16" t="s">
        <v>47</v>
      </c>
      <c r="AI2" s="16" t="s">
        <v>48</v>
      </c>
      <c r="AJ2" s="16" t="s">
        <v>49</v>
      </c>
      <c r="AK2" s="16" t="s">
        <v>50</v>
      </c>
      <c r="AL2" s="16" t="s">
        <v>51</v>
      </c>
    </row>
    <row r="3" spans="1:38" ht="90" x14ac:dyDescent="0.2">
      <c r="B3" s="35" t="s">
        <v>53</v>
      </c>
      <c r="C3" s="23" t="s">
        <v>659</v>
      </c>
      <c r="D3" s="13" t="s">
        <v>55</v>
      </c>
      <c r="E3" s="13" t="s">
        <v>56</v>
      </c>
      <c r="F3" s="13" t="s">
        <v>57</v>
      </c>
      <c r="G3" s="14" t="s">
        <v>58</v>
      </c>
      <c r="H3" s="14" t="s">
        <v>59</v>
      </c>
      <c r="I3" s="36" t="s">
        <v>60</v>
      </c>
      <c r="J3" s="13" t="s">
        <v>61</v>
      </c>
      <c r="K3" s="13" t="s">
        <v>62</v>
      </c>
      <c r="L3" s="37" t="s">
        <v>63</v>
      </c>
      <c r="M3" s="38" t="s">
        <v>64</v>
      </c>
      <c r="N3" s="36" t="s">
        <v>65</v>
      </c>
      <c r="O3" s="14" t="s">
        <v>66</v>
      </c>
      <c r="P3" s="13" t="s">
        <v>67</v>
      </c>
      <c r="Q3" s="26" t="s">
        <v>68</v>
      </c>
      <c r="R3" s="27" t="s">
        <v>69</v>
      </c>
      <c r="S3" s="14" t="s">
        <v>660</v>
      </c>
      <c r="T3" s="13" t="s">
        <v>71</v>
      </c>
      <c r="U3" s="13" t="s">
        <v>661</v>
      </c>
      <c r="V3" s="13" t="s">
        <v>73</v>
      </c>
      <c r="W3" s="13"/>
      <c r="X3" s="13" t="s">
        <v>74</v>
      </c>
      <c r="Y3" s="13" t="s">
        <v>75</v>
      </c>
      <c r="Z3" s="14" t="s">
        <v>76</v>
      </c>
      <c r="AA3" s="13" t="s">
        <v>77</v>
      </c>
      <c r="AB3" s="13" t="s">
        <v>78</v>
      </c>
      <c r="AC3" s="51" t="s">
        <v>79</v>
      </c>
      <c r="AD3" s="51" t="s">
        <v>80</v>
      </c>
      <c r="AE3" s="13" t="s">
        <v>81</v>
      </c>
      <c r="AF3" s="13" t="s">
        <v>662</v>
      </c>
      <c r="AG3" s="14" t="s">
        <v>83</v>
      </c>
      <c r="AH3" s="13" t="s">
        <v>84</v>
      </c>
      <c r="AI3" s="13" t="s">
        <v>85</v>
      </c>
      <c r="AJ3" s="13" t="s">
        <v>86</v>
      </c>
      <c r="AK3" s="13" t="s">
        <v>87</v>
      </c>
      <c r="AL3" s="13" t="s">
        <v>88</v>
      </c>
    </row>
    <row r="4" spans="1:38" ht="45" x14ac:dyDescent="0.2">
      <c r="B4" s="33" t="s">
        <v>663</v>
      </c>
      <c r="C4" s="33" t="s">
        <v>664</v>
      </c>
      <c r="D4" s="33" t="s">
        <v>664</v>
      </c>
      <c r="E4" s="33" t="s">
        <v>664</v>
      </c>
      <c r="F4" s="34" t="s">
        <v>665</v>
      </c>
      <c r="G4" s="34" t="s">
        <v>666</v>
      </c>
      <c r="H4" s="34" t="s">
        <v>667</v>
      </c>
      <c r="I4" s="33" t="s">
        <v>664</v>
      </c>
      <c r="J4" s="33" t="s">
        <v>664</v>
      </c>
      <c r="K4" s="33" t="s">
        <v>664</v>
      </c>
      <c r="L4" s="34" t="s">
        <v>668</v>
      </c>
      <c r="M4" s="33" t="s">
        <v>664</v>
      </c>
      <c r="N4" s="33" t="s">
        <v>664</v>
      </c>
      <c r="O4" s="33" t="s">
        <v>664</v>
      </c>
      <c r="P4" s="33" t="s">
        <v>664</v>
      </c>
      <c r="Q4" s="33" t="s">
        <v>664</v>
      </c>
      <c r="R4" s="33" t="s">
        <v>664</v>
      </c>
      <c r="S4" s="33" t="s">
        <v>664</v>
      </c>
      <c r="T4" s="20" t="s">
        <v>669</v>
      </c>
      <c r="U4" s="20" t="s">
        <v>670</v>
      </c>
      <c r="V4" s="20" t="s">
        <v>671</v>
      </c>
      <c r="W4" s="20"/>
      <c r="X4" s="20" t="s">
        <v>672</v>
      </c>
      <c r="Y4" s="20" t="s">
        <v>673</v>
      </c>
      <c r="Z4" s="34" t="s">
        <v>674</v>
      </c>
      <c r="AA4" s="20" t="s">
        <v>675</v>
      </c>
      <c r="AB4" s="20" t="s">
        <v>676</v>
      </c>
      <c r="AC4" s="20"/>
      <c r="AD4" s="20"/>
      <c r="AE4" s="33" t="s">
        <v>664</v>
      </c>
      <c r="AF4" s="33" t="s">
        <v>664</v>
      </c>
      <c r="AG4" s="33" t="s">
        <v>664</v>
      </c>
      <c r="AH4" s="33" t="s">
        <v>664</v>
      </c>
      <c r="AI4" s="33" t="s">
        <v>664</v>
      </c>
      <c r="AJ4" s="33" t="s">
        <v>664</v>
      </c>
      <c r="AK4" s="33" t="s">
        <v>664</v>
      </c>
      <c r="AL4" s="19" t="s">
        <v>677</v>
      </c>
    </row>
    <row r="5" spans="1:38" x14ac:dyDescent="0.2">
      <c r="F5" s="12" t="s">
        <v>92</v>
      </c>
      <c r="G5" s="12" t="s">
        <v>678</v>
      </c>
      <c r="H5" s="8" t="s">
        <v>679</v>
      </c>
      <c r="L5" s="18" t="s">
        <v>240</v>
      </c>
      <c r="T5" s="12" t="s">
        <v>680</v>
      </c>
      <c r="U5" s="2" t="s">
        <v>168</v>
      </c>
      <c r="V5" s="75" t="s">
        <v>293</v>
      </c>
      <c r="W5" s="40"/>
      <c r="X5" s="12" t="s">
        <v>681</v>
      </c>
      <c r="Y5" s="8" t="s">
        <v>110</v>
      </c>
      <c r="AA5" s="32" t="s">
        <v>144</v>
      </c>
      <c r="AB5" s="12" t="s">
        <v>113</v>
      </c>
      <c r="AC5" s="12" t="s">
        <v>185</v>
      </c>
      <c r="AD5" s="8" t="s">
        <v>115</v>
      </c>
      <c r="AL5" s="8" t="s">
        <v>123</v>
      </c>
    </row>
    <row r="6" spans="1:38" x14ac:dyDescent="0.2">
      <c r="F6" s="12" t="s">
        <v>135</v>
      </c>
      <c r="G6" s="12" t="s">
        <v>682</v>
      </c>
      <c r="H6" s="8" t="s">
        <v>683</v>
      </c>
      <c r="L6" s="18" t="s">
        <v>442</v>
      </c>
      <c r="T6" s="12" t="s">
        <v>209</v>
      </c>
      <c r="U6" s="74" t="s">
        <v>106</v>
      </c>
      <c r="V6" s="8" t="s">
        <v>684</v>
      </c>
      <c r="W6" s="40"/>
      <c r="X6" s="12" t="s">
        <v>685</v>
      </c>
      <c r="Y6" s="8" t="s">
        <v>486</v>
      </c>
      <c r="AA6" s="32" t="s">
        <v>112</v>
      </c>
      <c r="AB6" s="32" t="s">
        <v>686</v>
      </c>
      <c r="AC6" s="32" t="s">
        <v>114</v>
      </c>
      <c r="AD6" s="52" t="s">
        <v>230</v>
      </c>
      <c r="AL6" s="8" t="s">
        <v>262</v>
      </c>
    </row>
    <row r="7" spans="1:38" x14ac:dyDescent="0.2">
      <c r="F7" s="12" t="s">
        <v>148</v>
      </c>
      <c r="G7" s="12" t="s">
        <v>505</v>
      </c>
      <c r="H7" s="8" t="s">
        <v>687</v>
      </c>
      <c r="L7" s="18" t="s">
        <v>688</v>
      </c>
      <c r="T7" s="12" t="s">
        <v>180</v>
      </c>
      <c r="U7" s="74" t="s">
        <v>689</v>
      </c>
      <c r="V7" s="8" t="s">
        <v>690</v>
      </c>
      <c r="W7" s="40"/>
      <c r="X7" s="12" t="s">
        <v>691</v>
      </c>
      <c r="Y7" s="8" t="s">
        <v>420</v>
      </c>
      <c r="AA7" s="29" t="s">
        <v>170</v>
      </c>
      <c r="AB7" s="12" t="s">
        <v>242</v>
      </c>
      <c r="AC7" s="12"/>
      <c r="AD7" s="52" t="s">
        <v>186</v>
      </c>
      <c r="AL7" s="8"/>
    </row>
    <row r="8" spans="1:38" x14ac:dyDescent="0.2">
      <c r="F8" s="12" t="s">
        <v>692</v>
      </c>
      <c r="G8" s="12" t="s">
        <v>509</v>
      </c>
      <c r="H8" s="8" t="s">
        <v>693</v>
      </c>
      <c r="L8" s="18" t="s">
        <v>694</v>
      </c>
      <c r="T8" s="8" t="s">
        <v>369</v>
      </c>
      <c r="V8" s="76" t="s">
        <v>695</v>
      </c>
      <c r="W8" s="29"/>
      <c r="X8" s="29" t="s">
        <v>696</v>
      </c>
      <c r="Y8" s="8" t="s">
        <v>182</v>
      </c>
      <c r="AA8" s="8"/>
      <c r="AB8" s="28" t="s">
        <v>697</v>
      </c>
      <c r="AD8" s="8"/>
    </row>
    <row r="9" spans="1:38" x14ac:dyDescent="0.2">
      <c r="F9" s="12" t="s">
        <v>197</v>
      </c>
      <c r="G9" s="12" t="s">
        <v>541</v>
      </c>
      <c r="H9" s="8" t="s">
        <v>698</v>
      </c>
      <c r="L9" s="18" t="s">
        <v>699</v>
      </c>
      <c r="T9" s="8" t="s">
        <v>105</v>
      </c>
      <c r="V9" s="12" t="s">
        <v>700</v>
      </c>
      <c r="W9" s="12"/>
      <c r="X9" s="12" t="s">
        <v>283</v>
      </c>
      <c r="Y9" s="8" t="s">
        <v>271</v>
      </c>
      <c r="AB9" s="8" t="s">
        <v>295</v>
      </c>
    </row>
    <row r="10" spans="1:38" x14ac:dyDescent="0.2">
      <c r="F10" s="29" t="s">
        <v>410</v>
      </c>
      <c r="G10" s="12" t="s">
        <v>548</v>
      </c>
      <c r="H10" s="8" t="s">
        <v>701</v>
      </c>
      <c r="L10" s="18" t="s">
        <v>365</v>
      </c>
      <c r="T10" s="8" t="s">
        <v>702</v>
      </c>
      <c r="V10" s="12" t="s">
        <v>703</v>
      </c>
      <c r="W10" s="12"/>
      <c r="X10" s="12" t="s">
        <v>704</v>
      </c>
      <c r="Y10" s="21" t="s">
        <v>705</v>
      </c>
      <c r="AB10" s="8" t="s">
        <v>201</v>
      </c>
    </row>
    <row r="11" spans="1:38" x14ac:dyDescent="0.2">
      <c r="F11" s="2"/>
      <c r="G11" s="40" t="s">
        <v>347</v>
      </c>
      <c r="H11" s="8" t="s">
        <v>319</v>
      </c>
      <c r="L11" s="18" t="s">
        <v>174</v>
      </c>
      <c r="T11" s="8" t="s">
        <v>418</v>
      </c>
      <c r="V11" s="29" t="s">
        <v>706</v>
      </c>
      <c r="W11" s="12"/>
      <c r="X11" s="12" t="s">
        <v>475</v>
      </c>
      <c r="Y11" s="2"/>
      <c r="AB11" s="8" t="s">
        <v>184</v>
      </c>
    </row>
    <row r="12" spans="1:38" x14ac:dyDescent="0.2">
      <c r="G12" s="12" t="s">
        <v>93</v>
      </c>
      <c r="H12" s="8" t="s">
        <v>707</v>
      </c>
      <c r="L12" s="18" t="s">
        <v>97</v>
      </c>
      <c r="T12" s="8" t="s">
        <v>708</v>
      </c>
      <c r="V12" s="2" t="s">
        <v>370</v>
      </c>
      <c r="W12" s="40"/>
      <c r="X12" s="8"/>
      <c r="AB12" s="8"/>
    </row>
    <row r="13" spans="1:38" x14ac:dyDescent="0.2">
      <c r="G13" s="8" t="s">
        <v>318</v>
      </c>
      <c r="H13" s="11" t="s">
        <v>709</v>
      </c>
      <c r="L13" s="18" t="s">
        <v>710</v>
      </c>
      <c r="T13" s="8" t="s">
        <v>711</v>
      </c>
      <c r="V13" s="2"/>
    </row>
    <row r="14" spans="1:38" x14ac:dyDescent="0.2">
      <c r="G14" s="8"/>
      <c r="H14" s="8" t="s">
        <v>585</v>
      </c>
      <c r="L14" s="18" t="s">
        <v>712</v>
      </c>
      <c r="T14" s="8"/>
    </row>
    <row r="15" spans="1:38" x14ac:dyDescent="0.2">
      <c r="H15" s="8" t="s">
        <v>555</v>
      </c>
      <c r="L15" s="18" t="s">
        <v>713</v>
      </c>
    </row>
    <row r="16" spans="1:38" x14ac:dyDescent="0.2">
      <c r="H16" s="8" t="s">
        <v>521</v>
      </c>
      <c r="L16" s="18" t="s">
        <v>714</v>
      </c>
    </row>
    <row r="17" spans="8:12" x14ac:dyDescent="0.2">
      <c r="H17" s="8" t="s">
        <v>715</v>
      </c>
      <c r="L17" s="18" t="s">
        <v>716</v>
      </c>
    </row>
    <row r="18" spans="8:12" x14ac:dyDescent="0.2">
      <c r="H18" s="8" t="s">
        <v>717</v>
      </c>
      <c r="L18" s="18" t="s">
        <v>137</v>
      </c>
    </row>
    <row r="19" spans="8:12" x14ac:dyDescent="0.2">
      <c r="H19" s="8" t="s">
        <v>718</v>
      </c>
      <c r="L19" s="18" t="s">
        <v>719</v>
      </c>
    </row>
    <row r="20" spans="8:12" x14ac:dyDescent="0.2">
      <c r="H20" s="8" t="s">
        <v>720</v>
      </c>
      <c r="L20" s="18" t="s">
        <v>721</v>
      </c>
    </row>
    <row r="21" spans="8:12" x14ac:dyDescent="0.2">
      <c r="H21" s="8" t="s">
        <v>246</v>
      </c>
      <c r="L21" s="18" t="s">
        <v>163</v>
      </c>
    </row>
    <row r="22" spans="8:12" x14ac:dyDescent="0.2">
      <c r="H22" s="8" t="s">
        <v>538</v>
      </c>
      <c r="L22" s="18" t="s">
        <v>722</v>
      </c>
    </row>
    <row r="23" spans="8:12" x14ac:dyDescent="0.2">
      <c r="H23" s="8" t="s">
        <v>723</v>
      </c>
      <c r="L23" s="18" t="s">
        <v>724</v>
      </c>
    </row>
    <row r="24" spans="8:12" x14ac:dyDescent="0.2">
      <c r="H24" s="8" t="s">
        <v>725</v>
      </c>
      <c r="L24" s="18" t="s">
        <v>726</v>
      </c>
    </row>
    <row r="25" spans="8:12" x14ac:dyDescent="0.2">
      <c r="H25" s="8" t="s">
        <v>727</v>
      </c>
      <c r="L25" s="18" t="s">
        <v>728</v>
      </c>
    </row>
    <row r="26" spans="8:12" x14ac:dyDescent="0.2">
      <c r="H26" s="8" t="s">
        <v>729</v>
      </c>
      <c r="L26" s="18" t="s">
        <v>730</v>
      </c>
    </row>
    <row r="27" spans="8:12" x14ac:dyDescent="0.2">
      <c r="H27" s="8" t="s">
        <v>348</v>
      </c>
      <c r="L27" s="18" t="s">
        <v>731</v>
      </c>
    </row>
    <row r="28" spans="8:12" x14ac:dyDescent="0.2">
      <c r="H28" s="8" t="s">
        <v>549</v>
      </c>
      <c r="L28" s="21" t="s">
        <v>290</v>
      </c>
    </row>
    <row r="29" spans="8:12" x14ac:dyDescent="0.2">
      <c r="H29" s="21" t="s">
        <v>732</v>
      </c>
      <c r="L29" s="2"/>
    </row>
    <row r="30" spans="8:12" x14ac:dyDescent="0.2">
      <c r="H30" s="8" t="s">
        <v>544</v>
      </c>
    </row>
    <row r="31" spans="8:12" x14ac:dyDescent="0.2">
      <c r="H31" s="8" t="s">
        <v>733</v>
      </c>
    </row>
    <row r="32" spans="8:12" x14ac:dyDescent="0.2">
      <c r="H32" s="21" t="s">
        <v>94</v>
      </c>
    </row>
    <row r="33" spans="8:8" x14ac:dyDescent="0.2">
      <c r="H33" s="2"/>
    </row>
  </sheetData>
  <printOptions horizontalCentered="1"/>
  <pageMargins left="0.25" right="0.25" top="0.75" bottom="0.75" header="0.3" footer="0.3"/>
  <pageSetup paperSize="9" fitToWidth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676E-7621-46F3-AEB9-BC9748787F7B}">
  <dimension ref="B1:H7"/>
  <sheetViews>
    <sheetView showGridLines="0" workbookViewId="0">
      <selection activeCell="C3" sqref="C3:H7"/>
    </sheetView>
  </sheetViews>
  <sheetFormatPr baseColWidth="10" defaultColWidth="8.83203125" defaultRowHeight="15" x14ac:dyDescent="0.2"/>
  <cols>
    <col min="2" max="2" width="25.5" bestFit="1" customWidth="1"/>
    <col min="3" max="3" width="13.1640625" customWidth="1"/>
    <col min="4" max="4" width="16.5" customWidth="1"/>
    <col min="5" max="5" width="20" customWidth="1"/>
    <col min="6" max="6" width="13.33203125" customWidth="1"/>
    <col min="8" max="8" width="19.6640625" bestFit="1" customWidth="1"/>
  </cols>
  <sheetData>
    <row r="1" spans="2:8" x14ac:dyDescent="0.2">
      <c r="B1" t="s">
        <v>734</v>
      </c>
    </row>
    <row r="3" spans="2:8" x14ac:dyDescent="0.2">
      <c r="C3" s="160" t="s">
        <v>735</v>
      </c>
      <c r="D3" s="160"/>
      <c r="E3" s="160"/>
      <c r="F3" s="160"/>
      <c r="G3" s="160"/>
      <c r="H3" s="160"/>
    </row>
    <row r="4" spans="2:8" x14ac:dyDescent="0.2">
      <c r="C4" s="161" t="s">
        <v>736</v>
      </c>
      <c r="D4" s="161"/>
      <c r="E4" s="161"/>
      <c r="F4" s="161"/>
      <c r="G4" s="161"/>
      <c r="H4" s="161"/>
    </row>
    <row r="5" spans="2:8" x14ac:dyDescent="0.2">
      <c r="C5" s="53"/>
      <c r="D5" s="53"/>
      <c r="E5" s="53"/>
      <c r="F5" s="53"/>
      <c r="G5" s="53"/>
      <c r="H5" s="53"/>
    </row>
    <row r="6" spans="2:8" x14ac:dyDescent="0.2">
      <c r="C6" t="s">
        <v>737</v>
      </c>
      <c r="D6" t="s">
        <v>167</v>
      </c>
      <c r="E6" t="s">
        <v>738</v>
      </c>
      <c r="F6" t="s">
        <v>739</v>
      </c>
      <c r="G6" t="s">
        <v>167</v>
      </c>
      <c r="H6" t="s">
        <v>740</v>
      </c>
    </row>
    <row r="7" spans="2:8" x14ac:dyDescent="0.2">
      <c r="C7" t="s">
        <v>741</v>
      </c>
      <c r="D7" t="s">
        <v>167</v>
      </c>
      <c r="E7" t="s">
        <v>741</v>
      </c>
      <c r="F7" t="s">
        <v>742</v>
      </c>
      <c r="H7" t="s">
        <v>743</v>
      </c>
    </row>
  </sheetData>
  <mergeCells count="2">
    <mergeCell ref="C3:H3"/>
    <mergeCell ref="C4:H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3954-CB23-47A5-AB30-7EC3BDDA542D}">
  <dimension ref="A1:C7"/>
  <sheetViews>
    <sheetView showGridLines="0" zoomScaleNormal="150" zoomScaleSheetLayoutView="100" workbookViewId="0">
      <selection activeCell="B1" sqref="B1:C5"/>
    </sheetView>
  </sheetViews>
  <sheetFormatPr baseColWidth="10" defaultColWidth="8.83203125" defaultRowHeight="15" x14ac:dyDescent="0.2"/>
  <cols>
    <col min="1" max="1" width="12" bestFit="1" customWidth="1"/>
    <col min="2" max="2" width="12.33203125" bestFit="1" customWidth="1"/>
    <col min="3" max="3" width="73.6640625" bestFit="1" customWidth="1"/>
  </cols>
  <sheetData>
    <row r="1" spans="1:3" x14ac:dyDescent="0.2">
      <c r="A1" s="77" t="s">
        <v>744</v>
      </c>
      <c r="B1" s="77" t="s">
        <v>745</v>
      </c>
      <c r="C1" s="77" t="s">
        <v>614</v>
      </c>
    </row>
    <row r="2" spans="1:3" x14ac:dyDescent="0.2">
      <c r="A2" s="78">
        <v>1</v>
      </c>
      <c r="B2" s="8" t="s">
        <v>746</v>
      </c>
      <c r="C2" s="8" t="s">
        <v>747</v>
      </c>
    </row>
    <row r="3" spans="1:3" x14ac:dyDescent="0.2">
      <c r="A3" s="78">
        <v>2</v>
      </c>
      <c r="B3" s="8" t="s">
        <v>748</v>
      </c>
      <c r="C3" s="8" t="s">
        <v>749</v>
      </c>
    </row>
    <row r="4" spans="1:3" x14ac:dyDescent="0.2">
      <c r="A4" s="78">
        <v>3</v>
      </c>
      <c r="B4" s="8" t="s">
        <v>750</v>
      </c>
      <c r="C4" s="8" t="s">
        <v>751</v>
      </c>
    </row>
    <row r="5" spans="1:3" x14ac:dyDescent="0.2">
      <c r="A5" s="78">
        <v>4</v>
      </c>
      <c r="B5" s="8" t="s">
        <v>24</v>
      </c>
      <c r="C5" s="8" t="s">
        <v>752</v>
      </c>
    </row>
    <row r="6" spans="1:3" x14ac:dyDescent="0.2">
      <c r="A6" s="78">
        <v>5</v>
      </c>
      <c r="B6" s="8" t="s">
        <v>753</v>
      </c>
      <c r="C6" s="8" t="s">
        <v>754</v>
      </c>
    </row>
    <row r="7" spans="1:3" x14ac:dyDescent="0.2">
      <c r="A7" s="78">
        <v>6</v>
      </c>
      <c r="B7" s="8" t="s">
        <v>755</v>
      </c>
      <c r="C7" s="8" t="s">
        <v>756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c1ef29-05ac-47b7-b3d5-cc6b16d362cf" xsi:nil="true"/>
    <lcf76f155ced4ddcb4097134ff3c332f xmlns="5d492858-2460-4a60-928e-dea130880ca2">
      <Terms xmlns="http://schemas.microsoft.com/office/infopath/2007/PartnerControls"/>
    </lcf76f155ced4ddcb4097134ff3c332f>
    <Welke_x0020_voeding_x0020_wil_x0020_je_x0020__x003f_ xmlns="5d492858-2460-4a60-928e-dea130880c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1F6E8607A2A4689C466415D9126A3" ma:contentTypeVersion="15" ma:contentTypeDescription="Een nieuw document maken." ma:contentTypeScope="" ma:versionID="54e799c54ecf3cf9de3ff1711f54bd65">
  <xsd:schema xmlns:xsd="http://www.w3.org/2001/XMLSchema" xmlns:xs="http://www.w3.org/2001/XMLSchema" xmlns:p="http://schemas.microsoft.com/office/2006/metadata/properties" xmlns:ns2="5d492858-2460-4a60-928e-dea130880ca2" xmlns:ns3="21c1ef29-05ac-47b7-b3d5-cc6b16d362cf" targetNamespace="http://schemas.microsoft.com/office/2006/metadata/properties" ma:root="true" ma:fieldsID="ff15e282a599b0cb1d3fbad73502bc3a" ns2:_="" ns3:_="">
    <xsd:import namespace="5d492858-2460-4a60-928e-dea130880ca2"/>
    <xsd:import namespace="21c1ef29-05ac-47b7-b3d5-cc6b16d362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Welke_x0020_voeding_x0020_wil_x0020_je_x0020_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92858-2460-4a60-928e-dea130880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78207378-0a42-4bc5-9677-d1dcd3f4f6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Welke_x0020_voeding_x0020_wil_x0020_je_x0020__x003f_" ma:index="22" nillable="true" ma:displayName="Welke voeding wil je ?" ma:internalName="Welke_x0020_voeding_x0020_wil_x0020_je_x0020__x003f_">
      <xsd:simpleType>
        <xsd:restriction base="dms:Choice">
          <xsd:enumeration value="kaas"/>
          <xsd:enumeration value="appel"/>
          <xsd:enumeration value="col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1ef29-05ac-47b7-b3d5-cc6b16d362c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ee502ce-7f5d-4c20-a34d-ce1e3662f359}" ma:internalName="TaxCatchAll" ma:showField="CatchAllData" ma:web="21c1ef29-05ac-47b7-b3d5-cc6b16d362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FDFFA7-8D28-4E70-A79F-5B4B58E86D6F}">
  <ds:schemaRefs>
    <ds:schemaRef ds:uri="http://schemas.microsoft.com/office/2006/metadata/properties"/>
    <ds:schemaRef ds:uri="http://schemas.microsoft.com/office/infopath/2007/PartnerControls"/>
    <ds:schemaRef ds:uri="21c1ef29-05ac-47b7-b3d5-cc6b16d362cf"/>
    <ds:schemaRef ds:uri="5d492858-2460-4a60-928e-dea130880ca2"/>
  </ds:schemaRefs>
</ds:datastoreItem>
</file>

<file path=customXml/itemProps2.xml><?xml version="1.0" encoding="utf-8"?>
<ds:datastoreItem xmlns:ds="http://schemas.openxmlformats.org/officeDocument/2006/customXml" ds:itemID="{6638B3E8-C7C9-4FFF-9316-ECDF1031E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92858-2460-4a60-928e-dea130880ca2"/>
    <ds:schemaRef ds:uri="21c1ef29-05ac-47b7-b3d5-cc6b16d362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1CDC7F-AC9E-4DFA-AF58-8D42AEF25F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94f6bdd-955a-4d82-89c7-3b5b22bfdab4}" enabled="0" method="" siteId="{394f6bdd-955a-4d82-89c7-3b5b22bfda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Voorpagina</vt:lpstr>
      <vt:lpstr>Koppelregister</vt:lpstr>
      <vt:lpstr>Tussenstations (data)</vt:lpstr>
      <vt:lpstr>Archi Format</vt:lpstr>
      <vt:lpstr>WAARDEN</vt:lpstr>
      <vt:lpstr>Notities</vt:lpstr>
      <vt:lpstr>Koppelingsreferentie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Ilse Wesdorp</dc:creator>
  <cp:keywords/>
  <dc:description/>
  <cp:lastModifiedBy>Arnold Ruijter</cp:lastModifiedBy>
  <cp:revision/>
  <dcterms:created xsi:type="dcterms:W3CDTF">2025-09-30T08:08:29Z</dcterms:created>
  <dcterms:modified xsi:type="dcterms:W3CDTF">2026-03-24T00:04:03Z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0x0101007141F6E8607A2A4689C466415D9126A3</vt:lpwstr>
  </property>
  <property fmtid="{D5CDD505-2E9C-101B-9397-08002B2CF9AE}" pid="3" name="MediaServiceImageTags">
    <vt:lpwstr/>
  </property>
</Properties>
</file>